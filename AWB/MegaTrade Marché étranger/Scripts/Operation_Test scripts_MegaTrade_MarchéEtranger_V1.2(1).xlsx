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1.xml" ContentType="application/vnd.openxmlformats-officedocument.spreadsheetml.worksheet+xml"/>
  <Override PartName="/xl/worksheets/sheet29.xml" ContentType="application/vnd.openxmlformats-officedocument.spreadsheetml.worksheet+xml"/>
  <Override PartName="/xl/worksheets/sheet2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0950" windowHeight="3765" tabRatio="935"/>
  </bookViews>
  <sheets>
    <sheet name="Statistique" sheetId="1" r:id="rId1"/>
    <sheet name="RDG_OB_DV" sheetId="80" r:id="rId2"/>
    <sheet name="RDG_OB_DR" sheetId="83" r:id="rId3"/>
    <sheet name="RDG_OB_DO" sheetId="84" r:id="rId4"/>
    <sheet name="RDG_OB_CT_1" sheetId="85" r:id="rId5"/>
    <sheet name="RDG_OB_CE_2" sheetId="90" r:id="rId6"/>
    <sheet name="RDG_OB_RC" sheetId="91" r:id="rId7"/>
    <sheet name="RDG_OB_Q_1" sheetId="92" r:id="rId8"/>
    <sheet name="RDG_OB_Q_2" sheetId="93" r:id="rId9"/>
    <sheet name="RDG_OB_SB" sheetId="94" r:id="rId10"/>
    <sheet name="RDG_OB_P" sheetId="95" r:id="rId11"/>
    <sheet name="POB_A_1" sheetId="96" r:id="rId12"/>
    <sheet name="POB_A_2" sheetId="97" r:id="rId13"/>
    <sheet name="POB_A_3" sheetId="98" r:id="rId14"/>
    <sheet name="POB_A_4" sheetId="99" r:id="rId15"/>
    <sheet name="POB_A_5" sheetId="100" r:id="rId16"/>
    <sheet name="POB_A_6" sheetId="101" r:id="rId17"/>
    <sheet name="POB_A_7" sheetId="102" r:id="rId18"/>
    <sheet name="POB_A_8" sheetId="103" r:id="rId19"/>
    <sheet name="POB_A_9" sheetId="104" r:id="rId20"/>
    <sheet name="POB_A_10" sheetId="105" r:id="rId21"/>
    <sheet name="POB_A_11" sheetId="106" r:id="rId22"/>
    <sheet name="POB_A_12" sheetId="107" r:id="rId23"/>
    <sheet name="POB_A_13" sheetId="108" r:id="rId24"/>
    <sheet name="POB_EXEC_A_3" sheetId="111" r:id="rId25"/>
    <sheet name="POB_EXEC_A_4" sheetId="112" r:id="rId26"/>
    <sheet name="POB_V_1" sheetId="114" r:id="rId27"/>
    <sheet name="POB_V_2" sheetId="115" r:id="rId28"/>
    <sheet name="POB_V_3" sheetId="116" r:id="rId29"/>
    <sheet name="POB_V_4" sheetId="117" r:id="rId30"/>
    <sheet name="POB_V_5" sheetId="118" r:id="rId31"/>
    <sheet name="POB_V_6" sheetId="119" r:id="rId32"/>
    <sheet name="POB_V_7" sheetId="120" r:id="rId33"/>
    <sheet name="POB_V_8" sheetId="121" r:id="rId34"/>
    <sheet name="POB_V_9" sheetId="122" r:id="rId35"/>
    <sheet name="POB_V_10" sheetId="123" r:id="rId36"/>
    <sheet name="POB_V_11" sheetId="124" r:id="rId37"/>
    <sheet name="POB_V_12" sheetId="125" r:id="rId38"/>
    <sheet name="POB_V_13" sheetId="126" r:id="rId39"/>
    <sheet name="POB_EXEC_V_1" sheetId="127" r:id="rId40"/>
    <sheet name="POB_EXEC_V_2" sheetId="128" r:id="rId41"/>
    <sheet name="POB_EXEC_V_3" sheetId="129" r:id="rId42"/>
    <sheet name="POB_EXEC_V_4" sheetId="130" r:id="rId43"/>
    <sheet name="Définitions" sheetId="78" r:id="rId44"/>
  </sheets>
  <definedNames>
    <definedName name="_xlnm.Print_Area" localSheetId="23">POB_A_13!$A$1:$I$29</definedName>
  </definedNames>
  <calcPr calcId="124519"/>
</workbook>
</file>

<file path=xl/calcChain.xml><?xml version="1.0" encoding="utf-8"?>
<calcChain xmlns="http://schemas.openxmlformats.org/spreadsheetml/2006/main">
  <c r="U53" i="1"/>
  <c r="O53"/>
  <c r="L53"/>
  <c r="I53"/>
  <c r="I51"/>
  <c r="I50"/>
  <c r="I49"/>
  <c r="I48"/>
  <c r="I46"/>
  <c r="I45"/>
  <c r="I44"/>
  <c r="I43"/>
  <c r="I42"/>
  <c r="I41"/>
  <c r="I40"/>
  <c r="I39"/>
  <c r="I38"/>
  <c r="I37"/>
  <c r="I36"/>
  <c r="I35"/>
  <c r="I34"/>
  <c r="I32"/>
  <c r="I31"/>
  <c r="I30"/>
  <c r="I29"/>
  <c r="I27"/>
  <c r="I26"/>
  <c r="I25"/>
  <c r="I24"/>
  <c r="I23"/>
  <c r="I22"/>
  <c r="I21"/>
  <c r="I20"/>
  <c r="I19"/>
  <c r="I18"/>
  <c r="I17"/>
  <c r="I16"/>
  <c r="I15"/>
  <c r="I4"/>
  <c r="I13" l="1"/>
  <c r="I12"/>
  <c r="I11"/>
  <c r="I10"/>
  <c r="I9"/>
  <c r="I8"/>
  <c r="I7"/>
  <c r="I6"/>
  <c r="I5"/>
</calcChain>
</file>

<file path=xl/sharedStrings.xml><?xml version="1.0" encoding="utf-8"?>
<sst xmlns="http://schemas.openxmlformats.org/spreadsheetml/2006/main" count="733" uniqueCount="296">
  <si>
    <t>N°</t>
  </si>
  <si>
    <t>Description</t>
  </si>
  <si>
    <t>ATS</t>
  </si>
  <si>
    <t>Colonne A: Numéro
Colonne B: Nom de la feuille dans le fichier
Colonne C: Intitulé du script de test
Colonne D: Description brève du script de test
Colonne E: Domaine ou sous-domaine du script de test
Colonne F: Poids du domaine (ou sous-domaine) dans l'ensembe des scripts de test
Colonne G: Poids du scipt de test dans son domaine (ou sous-domaine) *
Colonne H: Lot ou sprint de livraison si applicable
Colonne J: Responsable de la rédaction du script
Colonne L: Responsable du déroulement du script (Itération 1)
Colonne N: Responsable du déroulement du script (Itération 2)
Colonne O: Avancement en pourcentage dans la rédaction du script
Colonne P: Avancement en pourcentage dans le déroulement du script (Itération 1)
Colonne Q: Avancement en pourcentage dans le déroulement du script (Itération 2)
Colonne R: Commentaire
Colonne S: ATS si applicable
Colonne T: Date de livraison si applicable
Colonne U: Estimation de la charge de la rédaction du script
Colonne I: champ déduit
Colonne K: champ déduit
Colonne M: champ déduit</t>
  </si>
  <si>
    <t>Scénario</t>
  </si>
  <si>
    <t>Etapes</t>
  </si>
  <si>
    <t>Etape 1</t>
  </si>
  <si>
    <t>Etape 2</t>
  </si>
  <si>
    <t>Etape 3</t>
  </si>
  <si>
    <t>Etape 4</t>
  </si>
  <si>
    <t>Résultat</t>
  </si>
  <si>
    <t>Nom du Feuille Excel</t>
  </si>
  <si>
    <t>Domaine du Scénario</t>
  </si>
  <si>
    <t>Pourcentage  par Domaine</t>
  </si>
  <si>
    <t xml:space="preserve">Pourcentage par Scénario </t>
  </si>
  <si>
    <t>Lot</t>
  </si>
  <si>
    <t>Lot1</t>
  </si>
  <si>
    <t>Documentation du Scénario %</t>
  </si>
  <si>
    <t>Responsible du documentation</t>
  </si>
  <si>
    <t>Première Exécution du scénario %</t>
  </si>
  <si>
    <t>Deuxième Exécution du scénario %</t>
  </si>
  <si>
    <t>Responsible Exécution 1</t>
  </si>
  <si>
    <t>Responsible Exécution 2</t>
  </si>
  <si>
    <t>Avancement de Documentation</t>
  </si>
  <si>
    <t>Avancement de l'Exécution   1</t>
  </si>
  <si>
    <t>Avancement de l'Exécution   2</t>
  </si>
  <si>
    <t>Commentaire</t>
  </si>
  <si>
    <t>Date de Livraison</t>
  </si>
  <si>
    <t>Estimation de Documentation</t>
  </si>
  <si>
    <t>Ordre de Bourse Marché Etranger</t>
  </si>
  <si>
    <t>La date de validité doit être supérieure ou égale à la date du jour.</t>
  </si>
  <si>
    <t>Date de validité</t>
  </si>
  <si>
    <t>Date de réception</t>
  </si>
  <si>
    <t>La date de réception doit être inférieure ou égale à la date système.</t>
  </si>
  <si>
    <t>La date de l’ordre doit être inférieure ou égale à la date du jour.</t>
  </si>
  <si>
    <t>Date de l'ordre</t>
  </si>
  <si>
    <t>Le compte titres client doit être actif.</t>
  </si>
  <si>
    <t>Compte-titres client</t>
  </si>
  <si>
    <t>Le compte espèces client n’est pas celui du client renseigné.</t>
  </si>
  <si>
    <t>Compte-espèces client</t>
  </si>
  <si>
    <t>La référence client est dupliqué pour le compte titres client.</t>
  </si>
  <si>
    <t>La quantité ne doit pas être décimalisée pour les actions.</t>
  </si>
  <si>
    <t>Quantité</t>
  </si>
  <si>
    <t>La quantité ne doit pas être négative.</t>
  </si>
  <si>
    <t>La société de bourse doit être active.</t>
  </si>
  <si>
    <t>Société de bourse</t>
  </si>
  <si>
    <t>La variation de prix ne doit pas dépasser la limite de 30% du dernier prix disponible.</t>
  </si>
  <si>
    <t>Prix</t>
  </si>
  <si>
    <t>L'ordre d'achat de bourse est en statut "En attente de validation"</t>
  </si>
  <si>
    <t>L'ordre d'achat de bourse est en statut "Insuffisance de soldes espèces"</t>
  </si>
  <si>
    <t>L'ordre d'achat de bourse est en statut "Ordre annulé"</t>
  </si>
  <si>
    <t>Annulation manuelle d'un ordre de bourse au status "En attente de validation"</t>
  </si>
  <si>
    <t>L'ordre d'achat de bourse est en statut "En attente envoi à la SDB"</t>
  </si>
  <si>
    <t>Annulation manuelle d'un ordre de bourse au status "En attente envoi à la SDB"</t>
  </si>
  <si>
    <t>Création d'un ordre de bourse d'achat en attente de validation</t>
  </si>
  <si>
    <t>Création d'un ordre de bourse d'achat en attente envoi à la SDB</t>
  </si>
  <si>
    <t>Création d'un ordre de bourse d'achat en insuffisance de soldes espèces</t>
  </si>
  <si>
    <t>Création d'un ordre de bourse d'achat en attente heure limite d'envoi</t>
  </si>
  <si>
    <t>L'ordre d'achat de bourse est en statut "En attente heure limite d'envoi"</t>
  </si>
  <si>
    <t>Création d'un ordre de bourse d'achat en attente acquittement SDB</t>
  </si>
  <si>
    <t>L'ordre d'achat de bourse est en statut "En attente acquittement SDB"</t>
  </si>
  <si>
    <t>Création d'un ordre de bourse d'achat en cours d'annulation</t>
  </si>
  <si>
    <t>L'ordre d'achat de bourse est en statut "Ordre en cours d'annulation"</t>
  </si>
  <si>
    <t>Création d'un ordre de bourse d'achat en attente exécution</t>
  </si>
  <si>
    <t>L'ordre d'achat de bourse est en statut "En Attente d'exécution"</t>
  </si>
  <si>
    <t>Création d'un ordre de bourse d'achat envoyé RL</t>
  </si>
  <si>
    <t>L'ordre d'achat de bourse est en statut "Envoyé RL"</t>
  </si>
  <si>
    <t>Création d'un ordre de bourse d'achat partiellement exécuté</t>
  </si>
  <si>
    <t>Création d'un ordre de bourse d'achat partiellement exécuté et clôturé</t>
  </si>
  <si>
    <t>L'ordre d'achat de bourse est en statut "Ordre Partiellement Exécuté clôturé"</t>
  </si>
  <si>
    <t>L'ordre d'achat de bourse est en statut "Partiellement exécuté"</t>
  </si>
  <si>
    <t>Création d'un ordre de bourse d'achat dénoué</t>
  </si>
  <si>
    <t>Création d'une exécution d'un ordre de bourse d'achat</t>
  </si>
  <si>
    <t>L'ordre d'achat de bourse est en statut "Dénoué"</t>
  </si>
  <si>
    <t>Création d'une exécution partielle d'un ordre de bourse d'achat</t>
  </si>
  <si>
    <t>Rapprochement manuelle d'une exécution reçue via MT515</t>
  </si>
  <si>
    <t>Les règles de gestion: Ordre de bourse</t>
  </si>
  <si>
    <t>Processus Ordre de bourse: Achat</t>
  </si>
  <si>
    <t>Processus Exécution Ordre de bourse: Achat</t>
  </si>
  <si>
    <t>Processus Ordre de bourse: Vente</t>
  </si>
  <si>
    <t>Création d'un ordre de bourse de vente en attente de validation</t>
  </si>
  <si>
    <t>Création d'un ordre de bourse de vente en attente envoi à la SDB</t>
  </si>
  <si>
    <t>L'ordre de bourse de vente est en statut "En attente de validation"</t>
  </si>
  <si>
    <t>Annulation manuelle d'un ordre de bourse de vente au status "En attente de validation"</t>
  </si>
  <si>
    <t>L'ordre de bourse de vente est en statut "En attente envoi à la SDB"</t>
  </si>
  <si>
    <t>L'ordre de bourse de vente est en statut "Ordre annulé"</t>
  </si>
  <si>
    <t>L'ordre de bourse de vente est en statut "En attente heure limite d'envoi"</t>
  </si>
  <si>
    <t>L'ordre de bourse de vente est en statut "En attente acquittement SDB"</t>
  </si>
  <si>
    <t>L'ordre de bourse de vente est en statut "Ordre en cours d'annulation"</t>
  </si>
  <si>
    <t>L'ordre de bourse de vente est en statut "En Attente d'exécution"</t>
  </si>
  <si>
    <t>L'ordre de bourse de vente est en statut "Envoyé RL"</t>
  </si>
  <si>
    <t>L'ordre de bourse de vente est en statut "Partiellement exécuté"</t>
  </si>
  <si>
    <t>L'ordre de bourse de vente est en statut "Ordre Partiellement Exécuté clôturé"</t>
  </si>
  <si>
    <t>L'ordre de bourse de vente est en statut "Dénoué"</t>
  </si>
  <si>
    <t>L'ordre de bourse de vente est en statut "Insuffisance de provisions titres"</t>
  </si>
  <si>
    <t>Création d'un ordre de bourse de vente en insuffisance de provisions titres</t>
  </si>
  <si>
    <t>Création d'un ordre de bourse de vente en attente heure limite d'envoi</t>
  </si>
  <si>
    <t>Création d'un ordre de bourse de vente en attente acquittement SDB</t>
  </si>
  <si>
    <t>Création d'un ordre de bourse de vente en cours d'annulation</t>
  </si>
  <si>
    <t>Création d'un ordre de bourse de vente en attente exécution</t>
  </si>
  <si>
    <t>Création d'un ordre de bourse de vente envoyé RL</t>
  </si>
  <si>
    <t>Création d'un ordre de bourse de vente partiellement exécuté</t>
  </si>
  <si>
    <t>Création d'un ordre de bourse de vente partiellement exécuté et clôturé</t>
  </si>
  <si>
    <t>Création d'un ordre de bourse de vente dénoué</t>
  </si>
  <si>
    <t>Annulation manuelle d'un ordre de bourse de vente au status "En attente envoi à la SDB"</t>
  </si>
  <si>
    <t>Création d'une exécution d'un ordre de bourse de vente</t>
  </si>
  <si>
    <t>Création d'une exécution partielle d'un ordre de bourse de vente</t>
  </si>
  <si>
    <t>Rejet d'une exécution d'un ordre de bourse de vente</t>
  </si>
  <si>
    <t>Rejet d'une exécution d'un ordre de bourse d'achat</t>
  </si>
  <si>
    <t>Rapprochement manuelle d'une exécution reçue via MT515 et un ordre de bourse de vente</t>
  </si>
  <si>
    <t>Rapprochement manuelle d'une exécution reçue via MT515 et un ordre de bourse d'achat.</t>
  </si>
  <si>
    <t>Processus Exécution Ordre de bourse: Vente</t>
  </si>
  <si>
    <t>Processus Ordre Achat</t>
  </si>
  <si>
    <t>Processus Ordre Vente</t>
  </si>
  <si>
    <t>Processus Execution Achat</t>
  </si>
  <si>
    <t>Processus Execution Vente</t>
  </si>
  <si>
    <t>POB_V_1</t>
  </si>
  <si>
    <t>RDG_OB_DV</t>
  </si>
  <si>
    <t>RDG_OB_DR</t>
  </si>
  <si>
    <t>RDG_OB_DO</t>
  </si>
  <si>
    <t>RDG_OB_CT_1</t>
  </si>
  <si>
    <t>RDG_OB_RC</t>
  </si>
  <si>
    <t>RDG_OB_Q_1</t>
  </si>
  <si>
    <t>RDG_OB_Q_2</t>
  </si>
  <si>
    <t>RDG_OB_SB</t>
  </si>
  <si>
    <t>RDG_OB_P</t>
  </si>
  <si>
    <t>POB_A_1</t>
  </si>
  <si>
    <t>POB_A_2</t>
  </si>
  <si>
    <t>POB_A_3</t>
  </si>
  <si>
    <t>POB_A_4</t>
  </si>
  <si>
    <t>POB_A_5</t>
  </si>
  <si>
    <t>POB_A_6</t>
  </si>
  <si>
    <t>POB_A_7</t>
  </si>
  <si>
    <t>POB_A_8</t>
  </si>
  <si>
    <t>POB_A_9</t>
  </si>
  <si>
    <t>POB_A_10</t>
  </si>
  <si>
    <t>POB_A_11</t>
  </si>
  <si>
    <t>POB_A_12</t>
  </si>
  <si>
    <t>POB_A_13</t>
  </si>
  <si>
    <t>POB_EXEC_A_1</t>
  </si>
  <si>
    <t>POB_EXEC_A_2</t>
  </si>
  <si>
    <t>POB_EXEC_A_3</t>
  </si>
  <si>
    <t>POB_EXEC_A_4</t>
  </si>
  <si>
    <t>POB_V_2</t>
  </si>
  <si>
    <t>POB_V_3</t>
  </si>
  <si>
    <t>POB_V_4</t>
  </si>
  <si>
    <t>POB_V_5</t>
  </si>
  <si>
    <t>POB_V_6</t>
  </si>
  <si>
    <t>POB_V_7</t>
  </si>
  <si>
    <t>POB_V_8</t>
  </si>
  <si>
    <t>POB_V_9</t>
  </si>
  <si>
    <t>POB_V_10</t>
  </si>
  <si>
    <t>POB_V_11</t>
  </si>
  <si>
    <t>POB_V_12</t>
  </si>
  <si>
    <t>POB_V_13</t>
  </si>
  <si>
    <t>Règles de Gestion Ordre Bourse</t>
  </si>
  <si>
    <t>RDG_OB_CE_2</t>
  </si>
  <si>
    <t>Script Name :RDG_OB_DV</t>
  </si>
  <si>
    <t>Description : La date de validité doit être supérieure ou égale à la date du jour.</t>
  </si>
  <si>
    <t>Saisie d'un ordre de bourse marché étranger avec date de validité inférieur à la date  du jour.</t>
  </si>
  <si>
    <t>Création d'un ordre  de bourse en statut: "Données Invalides"</t>
  </si>
  <si>
    <t>Script Name :RDG_OB_DR</t>
  </si>
  <si>
    <t>Description : La date de réception doit être inférieure ou égale à la date système.</t>
  </si>
  <si>
    <t>Saisie d'un ordre de bourse marché étranger avec une date de réception supérieur à la date système.</t>
  </si>
  <si>
    <t>Script Name :RDG_OB_DO</t>
  </si>
  <si>
    <t>Description : Date de l'ordre</t>
  </si>
  <si>
    <t>Saisie d'un ordre de bourse marché étranger avec une date de l’ordre supérieur à la date du jour.</t>
  </si>
  <si>
    <t>Description : Compte-titres client:Le compte titres client doit être actif.</t>
  </si>
  <si>
    <t>Script Name :RDG_OB_CT_1</t>
  </si>
  <si>
    <t>Saisie d'un ordre de bourse marché étranger dont le compte-titre client est inactif.</t>
  </si>
  <si>
    <t>*</t>
  </si>
  <si>
    <t>Script Name :RDG_OB_CE_2</t>
  </si>
  <si>
    <t>Description : Compte-espèces client:Le compte-espèces client n’est pas celui du client renseign.</t>
  </si>
  <si>
    <t>Saisie d'un ordre de bourse marché étranger dont le compte-espèces client n'est pas celui du client renseigné.</t>
  </si>
  <si>
    <t>Script Name :RDG_OB_RC</t>
  </si>
  <si>
    <t>Description : Compte-titres client:La référence client est dupliqué pour le compte titres client.</t>
  </si>
  <si>
    <t>Saisie d'un ordre de bourse marché étranger dont la référence client a été déjà utilisé pour le même compte-titres client (*).</t>
  </si>
  <si>
    <t>Un ordre avec la même référence client existe déjà pour le compte-titres client renseigné.</t>
  </si>
  <si>
    <t>Script Name :RDG_OB_Q_1</t>
  </si>
  <si>
    <t>Description : Quantité:La quantité ne doit pas être décimalisée pour les actions.</t>
  </si>
  <si>
    <t>Saisie d'un ordre de bourse marché étranger dont la quantité est décimalisée.</t>
  </si>
  <si>
    <t>Script Name :RDG_OB_Q_2</t>
  </si>
  <si>
    <t>Description : Quantité:La quantité ne doit pas être négative.</t>
  </si>
  <si>
    <t>Saisie d'un ordre de bourse marché étranger dont la quantité est négative.</t>
  </si>
  <si>
    <t>Script Name :RDG_OB_SB</t>
  </si>
  <si>
    <t>Description : Société de bourse:La société de bourse doit être active.</t>
  </si>
  <si>
    <t>Saisie d'un ordre de bourse marché étranger dont la société de bourse est inactive.</t>
  </si>
  <si>
    <t>Script Name :RDG_OB_P</t>
  </si>
  <si>
    <t>Saisie d'un ordre de bourse marché étranger adont le prix dépasse de 30% le dernier prix disponible.</t>
  </si>
  <si>
    <t>Recyclage de l'ordre sans modification de prix (contrôle non bloquant).</t>
  </si>
  <si>
    <t>Mise à jour de l'ordre de bourse en status: "En attente envoi à la SDB"</t>
  </si>
  <si>
    <t>Script Name :POB_A_1</t>
  </si>
  <si>
    <t>Description : Création d'un ordre de bourse d'achat en attente de validation.</t>
  </si>
  <si>
    <t>Description : Prix:La variation de prix ne doit pas dépasser la limite de 30% du dernier prix disponible.</t>
  </si>
  <si>
    <t>Saisie d'un ordre de bourse d'achat par un utilisateur.</t>
  </si>
  <si>
    <t>Script Name :POB_A_2</t>
  </si>
  <si>
    <t>Description : Création d'un ordre de bourse d'achat en attente envoi à la SDB.</t>
  </si>
  <si>
    <t>Validation de l'ordre de bourse d'achat par un validateur.</t>
  </si>
  <si>
    <t>Script Name :POB_A_3</t>
  </si>
  <si>
    <t>Description : Annulation manuelle d'un ordre de bourse d'achat au status "En attente de validation".</t>
  </si>
  <si>
    <t>Annulation de l'ordre de bourse d'achat.</t>
  </si>
  <si>
    <t>Script Name :POB_A_4</t>
  </si>
  <si>
    <t>Description : Annulation manuelle d'un ordre de bourse d'achat au status "En attente envoi à la SDB".</t>
  </si>
  <si>
    <t>Saisie d'un ordre de bourse d'achat.</t>
  </si>
  <si>
    <t>Script Name :POB_A_5</t>
  </si>
  <si>
    <t>Description : Création d'un ordre de bourse d'achat en insuffisance de soldes espèces.</t>
  </si>
  <si>
    <t>Script Name :POB_A_6</t>
  </si>
  <si>
    <t>Description : Création d'un ordre de bourse d'achat en attente heure limite d'envoi.</t>
  </si>
  <si>
    <t>Description : Création d'un ordre de bourse d'achat en attente acquittement SDB.</t>
  </si>
  <si>
    <t>Envoi de l'ordre de bourse d'achat.</t>
  </si>
  <si>
    <t>Script Name :POB_A_7</t>
  </si>
  <si>
    <t>Script Name :POB_A_8</t>
  </si>
  <si>
    <t>Description : Création d'un ordre de bourse d'achat en cours d'annulation.</t>
  </si>
  <si>
    <t>Demande d'annulation de l'ordre de bourse d'achat</t>
  </si>
  <si>
    <t>Script Name :POB_A_9</t>
  </si>
  <si>
    <t>Description : Création d'un ordre de bourse d'achat en attente exécution.</t>
  </si>
  <si>
    <t>Script Name :POB_A_10</t>
  </si>
  <si>
    <t>Description : Création d'un ordre de bourse d'achat envoyé RL.</t>
  </si>
  <si>
    <t xml:space="preserve">Etape 3 </t>
  </si>
  <si>
    <t>Intégration de(s) exécution(s) manuellement ou via MT515.</t>
  </si>
  <si>
    <t>Rapprochement et l'ordre d'achat de bourse est en statut "Envoyé RL"</t>
  </si>
  <si>
    <t>Script Name :POB_A_11</t>
  </si>
  <si>
    <t>Description : Création d'un ordre de bourse d'achat partiellement exécuté.</t>
  </si>
  <si>
    <t>Intégration d'une exécution partielle manuellement ou via MT515.</t>
  </si>
  <si>
    <t>Script Name :POB_A_12</t>
  </si>
  <si>
    <t>Description : Création d'un ordre de bourse d'achat partiellement exécuté et clôturé.</t>
  </si>
  <si>
    <t>Clotûre de l'ordre de bourse partiellement exécuté</t>
  </si>
  <si>
    <t>Script Name :POB_A_13</t>
  </si>
  <si>
    <t>Description : Création d'un ordre de bourse d'achat dénoué.</t>
  </si>
  <si>
    <t>Confirmation du dénouement du module R\L</t>
  </si>
  <si>
    <t>Script Name :POB_EXEC_A_3</t>
  </si>
  <si>
    <t>Description : Rejet d'une exécution d'un ordre de bourse d'achat.</t>
  </si>
  <si>
    <t>Intégration d'une exécution d'un ordre de bourse d'achat.</t>
  </si>
  <si>
    <t>Exécution non rapprochée.</t>
  </si>
  <si>
    <t>Rejet manuel d'une exécution d'un ordre de bourse d'achat.</t>
  </si>
  <si>
    <t>Script Name :POB_EXEC_A_4</t>
  </si>
  <si>
    <t>Description : Rapprochement manuelle d'une exécution reçue via MT515.</t>
  </si>
  <si>
    <t>Rapprochement manuel d'une exécution d'un ordre de bourse d'achat.</t>
  </si>
  <si>
    <t>Exécution et l'ordre de bourse d'achat rapprochés</t>
  </si>
  <si>
    <t>Script Name :POB_V_1</t>
  </si>
  <si>
    <t>Description : Création d'un ordre de bourse de vente en attente de validation.</t>
  </si>
  <si>
    <t>Saisie d'un ordre de bourse de vente par un utilisateur.</t>
  </si>
  <si>
    <t>Script Name :POB_V_2</t>
  </si>
  <si>
    <t>Description : Création d'un ordre de bourse de vente en attente envoi à la SDB.</t>
  </si>
  <si>
    <t>Validation de l'ordre de bourse de vente par un validateur.</t>
  </si>
  <si>
    <t>Script Name :POB_V_3</t>
  </si>
  <si>
    <t>Description : Annulation manuelle d'un ordre de bourse de vente au status "En attente de validation".</t>
  </si>
  <si>
    <t>Annulation de l'ordre de bourse de vente.</t>
  </si>
  <si>
    <t>Script Name :POB_V_4</t>
  </si>
  <si>
    <t>Description : Annulation manuelle d'un ordre de bourse de vente au status "En attente envoi à la SDB".</t>
  </si>
  <si>
    <t>Saisie d'un ordre de bourse de vente.</t>
  </si>
  <si>
    <t>Script Name :POB_V_5</t>
  </si>
  <si>
    <t>L'ordre de bourse de vente est en statut "Insuffisance de solde titres"</t>
  </si>
  <si>
    <t>Description : Création d'un ordre de bourse de vente en insuffisance de solde titres.</t>
  </si>
  <si>
    <t>Script Name :POB_V_6</t>
  </si>
  <si>
    <t>Description : Création d'un ordre de bourse de vente en attente heure limite d'envoi.</t>
  </si>
  <si>
    <t>L'ordre de bourse de venteest en statut "En attente heure limite d'envoi"</t>
  </si>
  <si>
    <t>Script Name :POB_V_7</t>
  </si>
  <si>
    <t>Description : Création d'un ordre de bourse de vente en attente acquittement SDB.</t>
  </si>
  <si>
    <t>Envoi de l'ordre de bourse de vente.</t>
  </si>
  <si>
    <t>Script Name :POB_V_8</t>
  </si>
  <si>
    <t>Description : Création d'un ordre de bourse de vente en cours d'annulation.</t>
  </si>
  <si>
    <t>Demande d'annulation de l'ordre de bourse de vente</t>
  </si>
  <si>
    <t>Script Name :POB_V_9</t>
  </si>
  <si>
    <t>Description : Création d'un ordre de bourse de vente en attente exécution.</t>
  </si>
  <si>
    <t>Script Name :POB_V_10</t>
  </si>
  <si>
    <t>Description : Création d'un ordre de bourse de vente envoyé RL.</t>
  </si>
  <si>
    <t>Rapprochement et l'ordre de bourse de vente est en statut "Envoyé RL"</t>
  </si>
  <si>
    <t>Script Name :POB_V_11</t>
  </si>
  <si>
    <t>Description : Création d'un ordre de bourse de vente partiellement exécuté.</t>
  </si>
  <si>
    <t>Script Name :POB_V_12</t>
  </si>
  <si>
    <t>Description : Création d'un ordre de bourse de vente partiellement exécuté et clôturé.</t>
  </si>
  <si>
    <t>Script Name :POB_V_13</t>
  </si>
  <si>
    <t>Description : Création d'un ordre de bourse de vente dénoué.</t>
  </si>
  <si>
    <t>POB_EXEC_V_1</t>
  </si>
  <si>
    <t>POB_EXEC_V_2</t>
  </si>
  <si>
    <t>POB_EXEC_V_3</t>
  </si>
  <si>
    <t>POB_EXEC_V_4</t>
  </si>
  <si>
    <t>Script Name :POB_EXEC_V_1</t>
  </si>
  <si>
    <t>Description : Création d'une exécution d'un ordre de bourse de vente.</t>
  </si>
  <si>
    <t>Saisie d'une exécution d'ordre de bourse de vente.</t>
  </si>
  <si>
    <t>Script Name :POB_EXEC_V_2</t>
  </si>
  <si>
    <t>Description : Création d'une exécution partielle d'un ordre de bourse de vente.</t>
  </si>
  <si>
    <t>Saisie d'une exécution partielle d'un ordre de bourse de vente.</t>
  </si>
  <si>
    <t>Script Name :POB_EXEC_V_3</t>
  </si>
  <si>
    <t>Description : Rejet d'une exécution d'un ordre de bourse de vente.</t>
  </si>
  <si>
    <t>Intégration d'une exécution d'un ordre de bourse de vente.</t>
  </si>
  <si>
    <t>Rejet manuel d'une exécution d'un ordre de bourse de vente.</t>
  </si>
  <si>
    <t>Rejet d'une exécution d'un ordre de bourse de vente.</t>
  </si>
  <si>
    <t>Script Name :POB_EXEC_V_4</t>
  </si>
  <si>
    <t>Rapprochement manuel d'une exécution d'un ordre de bourse de vente.</t>
  </si>
  <si>
    <t>Exécution et l'ordre de bourse de vente rapprochés</t>
  </si>
  <si>
    <t>Ordre créé dans le statut  " en attente d'envoi au déposiatire"</t>
  </si>
  <si>
    <t>recyclage de l'ordre: 
Ajout/modification de la donnée invalide/incorrecte</t>
  </si>
  <si>
    <t>recyclage  de l'ordre: 
Ajout/modification de la donnée invalide/incorrecte</t>
  </si>
  <si>
    <t>L'ordre d'achat de bourse est en statut "Envoyé RL"
une IRL est envoyé à MegaCustody</t>
  </si>
</sst>
</file>

<file path=xl/styles.xml><?xml version="1.0" encoding="utf-8"?>
<styleSheet xmlns="http://schemas.openxmlformats.org/spreadsheetml/2006/main">
  <numFmts count="2">
    <numFmt numFmtId="164" formatCode="0.000%"/>
    <numFmt numFmtId="165" formatCode="#,##0.000"/>
  </numFmts>
  <fonts count="15">
    <font>
      <sz val="10"/>
      <name val="Arial"/>
    </font>
    <font>
      <b/>
      <sz val="11"/>
      <color rgb="FF333399"/>
      <name val="Arial"/>
      <family val="2"/>
    </font>
    <font>
      <b/>
      <sz val="10"/>
      <color rgb="FF33339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4" tint="-0.249977111117893"/>
      <name val="Calibri"/>
      <family val="2"/>
      <scheme val="minor"/>
    </font>
    <font>
      <sz val="10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8EB4E3"/>
        <bgColor rgb="FF8EB4E3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548DD4"/>
        <bgColor rgb="FF548DD4"/>
      </patternFill>
    </fill>
    <fill>
      <patternFill patternType="solid">
        <fgColor rgb="FF8DB3E2"/>
        <bgColor rgb="FF8DB3E2"/>
      </patternFill>
    </fill>
    <fill>
      <patternFill patternType="solid">
        <fgColor rgb="FFB7B7B7"/>
        <bgColor rgb="FFB7B7B7"/>
      </patternFill>
    </fill>
    <fill>
      <patternFill patternType="solid">
        <fgColor theme="0" tint="-0.34998626667073579"/>
        <bgColor rgb="FF555555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rgb="FFBFBFB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555555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9" fillId="0" borderId="2"/>
    <xf numFmtId="9" fontId="12" fillId="0" borderId="0" applyFont="0" applyFill="0" applyBorder="0" applyAlignment="0" applyProtection="0"/>
  </cellStyleXfs>
  <cellXfs count="1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/>
    <xf numFmtId="9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wrapText="1"/>
    </xf>
    <xf numFmtId="0" fontId="3" fillId="4" borderId="1" xfId="0" applyFont="1" applyFill="1" applyBorder="1" applyAlignment="1"/>
    <xf numFmtId="0" fontId="4" fillId="0" borderId="2" xfId="0" applyFont="1" applyFill="1" applyBorder="1"/>
    <xf numFmtId="0" fontId="0" fillId="0" borderId="0" xfId="0" applyFill="1"/>
    <xf numFmtId="0" fontId="3" fillId="0" borderId="2" xfId="0" applyFont="1" applyFill="1" applyBorder="1" applyAlignment="1"/>
    <xf numFmtId="0" fontId="4" fillId="0" borderId="2" xfId="0" applyFont="1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10" fontId="4" fillId="0" borderId="2" xfId="0" applyNumberFormat="1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4" fontId="4" fillId="0" borderId="2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9" fontId="4" fillId="4" borderId="3" xfId="0" applyNumberFormat="1" applyFont="1" applyFill="1" applyBorder="1" applyAlignment="1">
      <alignment horizontal="center" vertical="center"/>
    </xf>
    <xf numFmtId="9" fontId="4" fillId="0" borderId="3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5" fillId="0" borderId="2" xfId="1" applyFont="1" applyFill="1" applyBorder="1" applyAlignment="1"/>
    <xf numFmtId="0" fontId="0" fillId="0" borderId="2" xfId="1" applyFont="1" applyFill="1" applyBorder="1"/>
    <xf numFmtId="0" fontId="0" fillId="0" borderId="2" xfId="0" applyBorder="1"/>
    <xf numFmtId="0" fontId="3" fillId="0" borderId="2" xfId="0" applyFont="1" applyBorder="1" applyAlignment="1">
      <alignment horizontal="left" vertical="top" wrapText="1"/>
    </xf>
    <xf numFmtId="0" fontId="10" fillId="7" borderId="9" xfId="1" applyFont="1" applyFill="1" applyBorder="1" applyAlignment="1">
      <alignment vertical="center"/>
    </xf>
    <xf numFmtId="0" fontId="10" fillId="7" borderId="5" xfId="1" applyFont="1" applyFill="1" applyBorder="1" applyAlignment="1">
      <alignment vertical="center"/>
    </xf>
    <xf numFmtId="0" fontId="0" fillId="0" borderId="2" xfId="1" applyFont="1" applyBorder="1"/>
    <xf numFmtId="0" fontId="11" fillId="9" borderId="5" xfId="0" applyFont="1" applyFill="1" applyBorder="1" applyAlignment="1">
      <alignment vertical="top" wrapText="1"/>
    </xf>
    <xf numFmtId="164" fontId="2" fillId="2" borderId="3" xfId="0" applyNumberFormat="1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9" fontId="4" fillId="0" borderId="10" xfId="0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0" fillId="0" borderId="11" xfId="0" applyBorder="1"/>
    <xf numFmtId="0" fontId="3" fillId="4" borderId="4" xfId="0" applyFont="1" applyFill="1" applyBorder="1" applyAlignment="1">
      <alignment horizontal="center" vertical="center"/>
    </xf>
    <xf numFmtId="10" fontId="2" fillId="2" borderId="12" xfId="0" applyNumberFormat="1" applyFont="1" applyFill="1" applyBorder="1" applyAlignment="1">
      <alignment horizontal="center" vertical="center" wrapText="1"/>
    </xf>
    <xf numFmtId="10" fontId="4" fillId="4" borderId="12" xfId="0" applyNumberFormat="1" applyFont="1" applyFill="1" applyBorder="1" applyAlignment="1">
      <alignment horizontal="center" vertical="center"/>
    </xf>
    <xf numFmtId="10" fontId="4" fillId="0" borderId="13" xfId="0" applyNumberFormat="1" applyFont="1" applyFill="1" applyBorder="1" applyAlignment="1">
      <alignment horizontal="center" vertical="center"/>
    </xf>
    <xf numFmtId="10" fontId="4" fillId="0" borderId="12" xfId="0" applyNumberFormat="1" applyFont="1" applyBorder="1" applyAlignment="1">
      <alignment horizontal="center" vertical="center"/>
    </xf>
    <xf numFmtId="10" fontId="4" fillId="0" borderId="13" xfId="0" applyNumberFormat="1" applyFont="1" applyBorder="1" applyAlignment="1">
      <alignment horizontal="center" vertical="center"/>
    </xf>
    <xf numFmtId="0" fontId="0" fillId="0" borderId="13" xfId="0" applyBorder="1"/>
    <xf numFmtId="10" fontId="4" fillId="0" borderId="3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9" fontId="3" fillId="0" borderId="2" xfId="0" applyNumberFormat="1" applyFont="1" applyFill="1" applyBorder="1" applyAlignment="1"/>
    <xf numFmtId="9" fontId="4" fillId="0" borderId="2" xfId="0" applyNumberFormat="1" applyFont="1" applyFill="1" applyBorder="1"/>
    <xf numFmtId="0" fontId="0" fillId="0" borderId="2" xfId="1" applyFont="1" applyBorder="1"/>
    <xf numFmtId="0" fontId="3" fillId="12" borderId="3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10" fontId="3" fillId="12" borderId="12" xfId="0" applyNumberFormat="1" applyFont="1" applyFill="1" applyBorder="1" applyAlignment="1">
      <alignment horizontal="center" vertical="center"/>
    </xf>
    <xf numFmtId="10" fontId="3" fillId="12" borderId="1" xfId="0" applyNumberFormat="1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  <xf numFmtId="164" fontId="3" fillId="12" borderId="3" xfId="0" applyNumberFormat="1" applyFont="1" applyFill="1" applyBorder="1" applyAlignment="1">
      <alignment horizontal="center" vertical="center"/>
    </xf>
    <xf numFmtId="164" fontId="3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4" fontId="3" fillId="12" borderId="1" xfId="0" applyNumberFormat="1" applyFont="1" applyFill="1" applyBorder="1" applyAlignment="1">
      <alignment horizontal="center" vertical="center"/>
    </xf>
    <xf numFmtId="9" fontId="2" fillId="2" borderId="3" xfId="2" applyFont="1" applyFill="1" applyBorder="1" applyAlignment="1">
      <alignment horizontal="center" vertical="center" wrapText="1"/>
    </xf>
    <xf numFmtId="9" fontId="4" fillId="4" borderId="3" xfId="2" applyFont="1" applyFill="1" applyBorder="1" applyAlignment="1">
      <alignment horizontal="center" vertical="center"/>
    </xf>
    <xf numFmtId="9" fontId="3" fillId="12" borderId="3" xfId="2" applyFont="1" applyFill="1" applyBorder="1" applyAlignment="1">
      <alignment horizontal="center" vertical="center"/>
    </xf>
    <xf numFmtId="9" fontId="4" fillId="0" borderId="2" xfId="2" applyFont="1" applyFill="1" applyBorder="1" applyAlignment="1">
      <alignment horizontal="center" vertical="center"/>
    </xf>
    <xf numFmtId="9" fontId="4" fillId="0" borderId="2" xfId="2" applyFont="1" applyBorder="1" applyAlignment="1">
      <alignment horizontal="center" vertical="center"/>
    </xf>
    <xf numFmtId="9" fontId="0" fillId="0" borderId="0" xfId="2" applyFont="1"/>
    <xf numFmtId="9" fontId="4" fillId="9" borderId="10" xfId="0" applyNumberFormat="1" applyFont="1" applyFill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center"/>
    </xf>
    <xf numFmtId="9" fontId="3" fillId="12" borderId="10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12" borderId="14" xfId="0" applyFont="1" applyFill="1" applyBorder="1" applyAlignment="1">
      <alignment horizontal="center" vertical="center" textRotation="90"/>
    </xf>
    <xf numFmtId="0" fontId="3" fillId="12" borderId="15" xfId="0" applyFont="1" applyFill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3" fillId="0" borderId="14" xfId="0" applyFont="1" applyBorder="1" applyAlignment="1">
      <alignment horizontal="center" vertical="center" textRotation="90"/>
    </xf>
    <xf numFmtId="0" fontId="7" fillId="3" borderId="16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7" fillId="3" borderId="17" xfId="0" applyFont="1" applyFill="1" applyBorder="1" applyAlignment="1">
      <alignment horizontal="left"/>
    </xf>
    <xf numFmtId="0" fontId="6" fillId="8" borderId="16" xfId="0" applyFont="1" applyFill="1" applyBorder="1" applyAlignment="1">
      <alignment horizontal="left"/>
    </xf>
    <xf numFmtId="0" fontId="6" fillId="8" borderId="2" xfId="0" applyFont="1" applyFill="1" applyBorder="1" applyAlignment="1">
      <alignment horizontal="left"/>
    </xf>
    <xf numFmtId="0" fontId="6" fillId="8" borderId="17" xfId="0" applyFont="1" applyFill="1" applyBorder="1" applyAlignment="1">
      <alignment horizontal="left"/>
    </xf>
    <xf numFmtId="0" fontId="8" fillId="8" borderId="16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/>
    </xf>
    <xf numFmtId="0" fontId="8" fillId="8" borderId="17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center" vertical="center" textRotation="90"/>
    </xf>
    <xf numFmtId="0" fontId="3" fillId="4" borderId="14" xfId="0" applyFont="1" applyFill="1" applyBorder="1" applyAlignment="1">
      <alignment horizontal="center" vertical="center" textRotation="90"/>
    </xf>
    <xf numFmtId="0" fontId="3" fillId="4" borderId="15" xfId="0" applyFont="1" applyFill="1" applyBorder="1" applyAlignment="1">
      <alignment horizontal="center" vertical="center" textRotation="90"/>
    </xf>
    <xf numFmtId="9" fontId="4" fillId="4" borderId="9" xfId="0" applyNumberFormat="1" applyFont="1" applyFill="1" applyBorder="1" applyAlignment="1">
      <alignment horizontal="center" vertical="center"/>
    </xf>
    <xf numFmtId="9" fontId="4" fillId="4" borderId="14" xfId="0" applyNumberFormat="1" applyFont="1" applyFill="1" applyBorder="1" applyAlignment="1">
      <alignment horizontal="center" vertical="center"/>
    </xf>
    <xf numFmtId="9" fontId="4" fillId="4" borderId="15" xfId="0" applyNumberFormat="1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 textRotation="90"/>
    </xf>
    <xf numFmtId="9" fontId="0" fillId="0" borderId="9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9" fontId="3" fillId="12" borderId="9" xfId="0" applyNumberFormat="1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5" fillId="5" borderId="2" xfId="1" applyFont="1" applyFill="1" applyBorder="1" applyAlignment="1"/>
    <xf numFmtId="0" fontId="0" fillId="0" borderId="2" xfId="1" applyFont="1" applyBorder="1"/>
    <xf numFmtId="0" fontId="5" fillId="6" borderId="2" xfId="1" applyFont="1" applyFill="1" applyBorder="1" applyAlignment="1"/>
    <xf numFmtId="0" fontId="5" fillId="10" borderId="8" xfId="1" applyFont="1" applyFill="1" applyBorder="1" applyAlignment="1"/>
    <xf numFmtId="0" fontId="0" fillId="11" borderId="6" xfId="1" applyFont="1" applyFill="1" applyBorder="1"/>
    <xf numFmtId="0" fontId="0" fillId="11" borderId="7" xfId="1" applyFont="1" applyFill="1" applyBorder="1"/>
  </cellXfs>
  <cellStyles count="3">
    <cellStyle name="Normal" xfId="0" builtinId="0"/>
    <cellStyle name="Normal 2" xfId="1"/>
    <cellStyle name="Percent" xfId="2" builtinId="5"/>
  </cellStyles>
  <dxfs count="3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J55"/>
  <sheetViews>
    <sheetView tabSelected="1" zoomScale="70" zoomScaleNormal="70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L1" sqref="L1"/>
    </sheetView>
  </sheetViews>
  <sheetFormatPr defaultColWidth="14.42578125" defaultRowHeight="15.75" customHeight="1"/>
  <cols>
    <col min="1" max="1" width="4.140625" bestFit="1" customWidth="1"/>
    <col min="2" max="2" width="42.42578125" customWidth="1"/>
    <col min="3" max="3" width="75.7109375" customWidth="1"/>
    <col min="4" max="4" width="128" customWidth="1"/>
    <col min="5" max="5" width="21" bestFit="1" customWidth="1"/>
    <col min="6" max="6" width="18" customWidth="1"/>
    <col min="7" max="7" width="16.28515625" style="77" bestFit="1" customWidth="1"/>
    <col min="8" max="8" width="9.5703125" style="37" customWidth="1"/>
    <col min="9" max="9" width="19.28515625" style="56" customWidth="1"/>
    <col min="10" max="10" width="18.42578125" customWidth="1"/>
    <col min="11" max="11" width="19.5703125" style="49" customWidth="1"/>
    <col min="12" max="12" width="23.140625" style="37" customWidth="1"/>
    <col min="13" max="13" width="16.140625" customWidth="1"/>
    <col min="14" max="14" width="19.140625" style="49" customWidth="1"/>
    <col min="15" max="15" width="24.5703125" style="37" customWidth="1"/>
    <col min="16" max="16" width="14.85546875" customWidth="1"/>
    <col min="17" max="17" width="18" style="49" customWidth="1"/>
    <col min="18" max="18" width="13.42578125" style="37" bestFit="1" customWidth="1"/>
    <col min="19" max="19" width="17.7109375" customWidth="1"/>
    <col min="20" max="20" width="17" bestFit="1" customWidth="1"/>
    <col min="21" max="21" width="19.7109375" customWidth="1"/>
    <col min="22" max="88" width="14.42578125" style="20"/>
  </cols>
  <sheetData>
    <row r="1" spans="1:26" ht="25.5">
      <c r="A1" s="1" t="s">
        <v>0</v>
      </c>
      <c r="B1" s="1" t="s">
        <v>11</v>
      </c>
      <c r="C1" s="2" t="s">
        <v>4</v>
      </c>
      <c r="D1" s="28" t="s">
        <v>1</v>
      </c>
      <c r="E1" s="33" t="s">
        <v>12</v>
      </c>
      <c r="F1" s="33" t="s">
        <v>13</v>
      </c>
      <c r="G1" s="72" t="s">
        <v>14</v>
      </c>
      <c r="H1" s="28" t="s">
        <v>15</v>
      </c>
      <c r="I1" s="51" t="s">
        <v>17</v>
      </c>
      <c r="J1" s="2" t="s">
        <v>18</v>
      </c>
      <c r="K1" s="46" t="s">
        <v>23</v>
      </c>
      <c r="L1" s="43" t="s">
        <v>19</v>
      </c>
      <c r="M1" s="2" t="s">
        <v>21</v>
      </c>
      <c r="N1" s="46" t="s">
        <v>24</v>
      </c>
      <c r="O1" s="43" t="s">
        <v>20</v>
      </c>
      <c r="P1" s="2" t="s">
        <v>22</v>
      </c>
      <c r="Q1" s="46" t="s">
        <v>25</v>
      </c>
      <c r="R1" s="30" t="s">
        <v>26</v>
      </c>
      <c r="S1" s="2" t="s">
        <v>2</v>
      </c>
      <c r="T1" s="2" t="s">
        <v>27</v>
      </c>
      <c r="U1" s="3" t="s">
        <v>28</v>
      </c>
      <c r="V1" s="34"/>
      <c r="W1" s="34"/>
      <c r="X1" s="34"/>
      <c r="Y1" s="34"/>
      <c r="Z1" s="34"/>
    </row>
    <row r="2" spans="1:26" ht="18">
      <c r="A2" s="87" t="s">
        <v>29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9"/>
      <c r="V2" s="21"/>
      <c r="W2" s="21"/>
      <c r="X2" s="60"/>
      <c r="Y2" s="60"/>
      <c r="Z2" s="21"/>
    </row>
    <row r="3" spans="1:26" ht="15">
      <c r="A3" s="90" t="s">
        <v>76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2"/>
      <c r="V3" s="21"/>
      <c r="W3" s="21"/>
      <c r="X3" s="60"/>
      <c r="Y3" s="60"/>
      <c r="Z3" s="21"/>
    </row>
    <row r="4" spans="1:26" ht="12.75">
      <c r="A4" s="4">
        <v>1</v>
      </c>
      <c r="B4" s="18" t="s">
        <v>117</v>
      </c>
      <c r="C4" s="17" t="s">
        <v>31</v>
      </c>
      <c r="D4" s="29" t="s">
        <v>30</v>
      </c>
      <c r="E4" s="96" t="s">
        <v>155</v>
      </c>
      <c r="F4" s="99">
        <v>0.1</v>
      </c>
      <c r="G4" s="73">
        <v>0.1</v>
      </c>
      <c r="H4" s="50" t="s">
        <v>16</v>
      </c>
      <c r="I4" s="52">
        <f>F4*G4*K4</f>
        <v>1.0000000000000002E-2</v>
      </c>
      <c r="J4" s="7"/>
      <c r="K4" s="47">
        <v>1</v>
      </c>
      <c r="L4" s="44"/>
      <c r="M4" s="5"/>
      <c r="N4" s="47"/>
      <c r="O4" s="31"/>
      <c r="P4" s="5"/>
      <c r="Q4" s="47"/>
      <c r="R4" s="32"/>
      <c r="S4" s="5"/>
      <c r="T4" s="5"/>
      <c r="U4" s="6"/>
      <c r="V4" s="19"/>
      <c r="W4" s="19"/>
      <c r="X4" s="61"/>
      <c r="Y4" s="61"/>
      <c r="Z4" s="19"/>
    </row>
    <row r="5" spans="1:26" ht="12.75">
      <c r="A5" s="4">
        <v>2</v>
      </c>
      <c r="B5" s="18" t="s">
        <v>118</v>
      </c>
      <c r="C5" s="17" t="s">
        <v>32</v>
      </c>
      <c r="D5" s="29" t="s">
        <v>33</v>
      </c>
      <c r="E5" s="97"/>
      <c r="F5" s="100"/>
      <c r="G5" s="73">
        <v>0.1</v>
      </c>
      <c r="H5" s="50" t="s">
        <v>16</v>
      </c>
      <c r="I5" s="52">
        <f>F4*G5*K5</f>
        <v>1.0000000000000002E-2</v>
      </c>
      <c r="J5" s="7"/>
      <c r="K5" s="78">
        <v>1</v>
      </c>
      <c r="L5" s="44"/>
      <c r="M5" s="8"/>
      <c r="N5" s="47"/>
      <c r="O5" s="31"/>
      <c r="P5" s="5"/>
      <c r="Q5" s="47"/>
      <c r="R5" s="32"/>
      <c r="S5" s="5"/>
      <c r="T5" s="5"/>
      <c r="U5" s="6"/>
      <c r="V5" s="19"/>
      <c r="W5" s="19"/>
      <c r="X5" s="19"/>
      <c r="Y5" s="61"/>
      <c r="Z5" s="19"/>
    </row>
    <row r="6" spans="1:26" ht="15" customHeight="1">
      <c r="A6" s="4">
        <v>3</v>
      </c>
      <c r="B6" s="18" t="s">
        <v>119</v>
      </c>
      <c r="C6" s="17" t="s">
        <v>35</v>
      </c>
      <c r="D6" s="29" t="s">
        <v>34</v>
      </c>
      <c r="E6" s="97"/>
      <c r="F6" s="100"/>
      <c r="G6" s="73">
        <v>0.1</v>
      </c>
      <c r="H6" s="50" t="s">
        <v>16</v>
      </c>
      <c r="I6" s="52">
        <f>F4*G6*K6</f>
        <v>1.0000000000000002E-2</v>
      </c>
      <c r="J6" s="7"/>
      <c r="K6" s="78">
        <v>1</v>
      </c>
      <c r="L6" s="44"/>
      <c r="M6" s="8"/>
      <c r="N6" s="47"/>
      <c r="O6" s="31"/>
      <c r="P6" s="5"/>
      <c r="Q6" s="47"/>
      <c r="R6" s="59"/>
      <c r="S6" s="9"/>
      <c r="T6" s="9"/>
      <c r="U6" s="6"/>
      <c r="V6" s="19"/>
      <c r="W6" s="19"/>
      <c r="X6" s="19"/>
      <c r="Y6" s="61"/>
      <c r="Z6" s="19"/>
    </row>
    <row r="7" spans="1:26" ht="15" customHeight="1">
      <c r="A7" s="4">
        <v>4</v>
      </c>
      <c r="B7" s="18" t="s">
        <v>120</v>
      </c>
      <c r="C7" s="17" t="s">
        <v>37</v>
      </c>
      <c r="D7" s="29" t="s">
        <v>36</v>
      </c>
      <c r="E7" s="97"/>
      <c r="F7" s="100"/>
      <c r="G7" s="73">
        <v>0.1</v>
      </c>
      <c r="H7" s="50" t="s">
        <v>16</v>
      </c>
      <c r="I7" s="52">
        <f>F4*G7*K7</f>
        <v>1.0000000000000002E-2</v>
      </c>
      <c r="J7" s="7"/>
      <c r="K7" s="78">
        <v>1</v>
      </c>
      <c r="L7" s="44"/>
      <c r="M7" s="8"/>
      <c r="N7" s="47"/>
      <c r="O7" s="31"/>
      <c r="P7" s="5"/>
      <c r="Q7" s="47"/>
      <c r="R7" s="59"/>
      <c r="S7" s="9"/>
      <c r="T7" s="9"/>
      <c r="U7" s="6"/>
      <c r="V7" s="19"/>
      <c r="W7" s="19"/>
      <c r="X7" s="19"/>
      <c r="Y7" s="19"/>
      <c r="Z7" s="19"/>
    </row>
    <row r="8" spans="1:26" ht="15" customHeight="1">
      <c r="A8" s="4">
        <v>5</v>
      </c>
      <c r="B8" s="18" t="s">
        <v>156</v>
      </c>
      <c r="C8" s="17" t="s">
        <v>39</v>
      </c>
      <c r="D8" s="29" t="s">
        <v>38</v>
      </c>
      <c r="E8" s="97"/>
      <c r="F8" s="100"/>
      <c r="G8" s="73">
        <v>0.1</v>
      </c>
      <c r="H8" s="50" t="s">
        <v>16</v>
      </c>
      <c r="I8" s="52">
        <f>F4*G8*K8</f>
        <v>1.0000000000000002E-2</v>
      </c>
      <c r="J8" s="7"/>
      <c r="K8" s="78">
        <v>1</v>
      </c>
      <c r="L8" s="44"/>
      <c r="M8" s="8"/>
      <c r="N8" s="47"/>
      <c r="O8" s="31"/>
      <c r="P8" s="5"/>
      <c r="Q8" s="47"/>
      <c r="R8" s="59"/>
      <c r="S8" s="9"/>
      <c r="T8" s="9"/>
      <c r="U8" s="6"/>
      <c r="V8" s="19"/>
      <c r="W8" s="19"/>
      <c r="X8" s="19"/>
      <c r="Y8" s="19"/>
      <c r="Z8" s="19"/>
    </row>
    <row r="9" spans="1:26" ht="15" customHeight="1">
      <c r="A9" s="4">
        <v>6</v>
      </c>
      <c r="B9" s="18" t="s">
        <v>121</v>
      </c>
      <c r="C9" s="17" t="s">
        <v>37</v>
      </c>
      <c r="D9" s="29" t="s">
        <v>40</v>
      </c>
      <c r="E9" s="97"/>
      <c r="F9" s="100"/>
      <c r="G9" s="73">
        <v>0.1</v>
      </c>
      <c r="H9" s="50" t="s">
        <v>16</v>
      </c>
      <c r="I9" s="52">
        <f>F4*G9*K9</f>
        <v>1.0000000000000002E-2</v>
      </c>
      <c r="J9" s="7"/>
      <c r="K9" s="78">
        <v>1</v>
      </c>
      <c r="L9" s="44"/>
      <c r="M9" s="8"/>
      <c r="N9" s="47"/>
      <c r="O9" s="31"/>
      <c r="P9" s="5"/>
      <c r="Q9" s="47"/>
      <c r="R9" s="59"/>
      <c r="S9" s="9"/>
      <c r="T9" s="9"/>
      <c r="U9" s="6"/>
      <c r="V9" s="19"/>
      <c r="W9" s="19"/>
      <c r="X9" s="19"/>
      <c r="Y9" s="19"/>
      <c r="Z9" s="19"/>
    </row>
    <row r="10" spans="1:26" ht="15" customHeight="1">
      <c r="A10" s="4">
        <v>7</v>
      </c>
      <c r="B10" s="18" t="s">
        <v>122</v>
      </c>
      <c r="C10" s="17" t="s">
        <v>42</v>
      </c>
      <c r="D10" s="29" t="s">
        <v>41</v>
      </c>
      <c r="E10" s="97"/>
      <c r="F10" s="100"/>
      <c r="G10" s="73">
        <v>0.1</v>
      </c>
      <c r="H10" s="50" t="s">
        <v>16</v>
      </c>
      <c r="I10" s="52">
        <f>F4*G10*K10</f>
        <v>1.0000000000000002E-2</v>
      </c>
      <c r="J10" s="7"/>
      <c r="K10" s="78">
        <v>1</v>
      </c>
      <c r="L10" s="44"/>
      <c r="M10" s="8"/>
      <c r="N10" s="47"/>
      <c r="O10" s="31"/>
      <c r="P10" s="5"/>
      <c r="Q10" s="47"/>
      <c r="R10" s="59"/>
      <c r="S10" s="9"/>
      <c r="T10" s="9"/>
      <c r="U10" s="6"/>
      <c r="V10" s="19"/>
      <c r="W10" s="19"/>
      <c r="X10" s="19"/>
      <c r="Y10" s="19"/>
      <c r="Z10" s="19"/>
    </row>
    <row r="11" spans="1:26" ht="15" customHeight="1">
      <c r="A11" s="4">
        <v>8</v>
      </c>
      <c r="B11" s="18" t="s">
        <v>123</v>
      </c>
      <c r="C11" s="17" t="s">
        <v>42</v>
      </c>
      <c r="D11" s="29" t="s">
        <v>43</v>
      </c>
      <c r="E11" s="97"/>
      <c r="F11" s="100"/>
      <c r="G11" s="73">
        <v>0.1</v>
      </c>
      <c r="H11" s="50" t="s">
        <v>16</v>
      </c>
      <c r="I11" s="52">
        <f>F4*G11*K11</f>
        <v>1.0000000000000002E-2</v>
      </c>
      <c r="J11" s="7"/>
      <c r="K11" s="78">
        <v>1</v>
      </c>
      <c r="L11" s="44"/>
      <c r="M11" s="8"/>
      <c r="N11" s="47"/>
      <c r="O11" s="31"/>
      <c r="P11" s="5"/>
      <c r="Q11" s="47"/>
      <c r="R11" s="59"/>
      <c r="S11" s="9"/>
      <c r="T11" s="9"/>
      <c r="U11" s="6"/>
      <c r="V11" s="19"/>
      <c r="W11" s="19"/>
      <c r="X11" s="19"/>
      <c r="Y11" s="19"/>
      <c r="Z11" s="19"/>
    </row>
    <row r="12" spans="1:26" ht="15" customHeight="1">
      <c r="A12" s="4">
        <v>9</v>
      </c>
      <c r="B12" s="18" t="s">
        <v>124</v>
      </c>
      <c r="C12" s="17" t="s">
        <v>45</v>
      </c>
      <c r="D12" s="29" t="s">
        <v>44</v>
      </c>
      <c r="E12" s="97"/>
      <c r="F12" s="100"/>
      <c r="G12" s="73">
        <v>0.1</v>
      </c>
      <c r="H12" s="50" t="s">
        <v>16</v>
      </c>
      <c r="I12" s="52">
        <f>F4*G12*K12</f>
        <v>1.0000000000000002E-2</v>
      </c>
      <c r="J12" s="7"/>
      <c r="K12" s="78">
        <v>1</v>
      </c>
      <c r="L12" s="44"/>
      <c r="M12" s="8"/>
      <c r="N12" s="47"/>
      <c r="O12" s="31"/>
      <c r="P12" s="5"/>
      <c r="Q12" s="47"/>
      <c r="R12" s="59"/>
      <c r="S12" s="9"/>
      <c r="T12" s="9"/>
      <c r="U12" s="6"/>
      <c r="V12" s="19"/>
      <c r="W12" s="19"/>
      <c r="X12" s="19"/>
      <c r="Y12" s="19"/>
      <c r="Z12" s="19"/>
    </row>
    <row r="13" spans="1:26" ht="15" customHeight="1">
      <c r="A13" s="4">
        <v>10</v>
      </c>
      <c r="B13" s="18" t="s">
        <v>125</v>
      </c>
      <c r="C13" s="17" t="s">
        <v>47</v>
      </c>
      <c r="D13" s="29" t="s">
        <v>46</v>
      </c>
      <c r="E13" s="98"/>
      <c r="F13" s="101"/>
      <c r="G13" s="73">
        <v>0.1</v>
      </c>
      <c r="H13" s="50" t="s">
        <v>16</v>
      </c>
      <c r="I13" s="52">
        <f>F4*G13*K13</f>
        <v>1.0000000000000002E-2</v>
      </c>
      <c r="J13" s="7"/>
      <c r="K13" s="78">
        <v>1</v>
      </c>
      <c r="L13" s="44"/>
      <c r="M13" s="8"/>
      <c r="N13" s="47"/>
      <c r="O13" s="31"/>
      <c r="P13" s="5"/>
      <c r="Q13" s="47"/>
      <c r="R13" s="59"/>
      <c r="S13" s="9"/>
      <c r="T13" s="9"/>
      <c r="U13" s="6"/>
      <c r="V13" s="19"/>
      <c r="W13" s="19"/>
      <c r="X13" s="19"/>
      <c r="Y13" s="19"/>
      <c r="Z13" s="19"/>
    </row>
    <row r="14" spans="1:26" ht="15" customHeight="1">
      <c r="A14" s="90" t="s">
        <v>77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2"/>
      <c r="V14" s="19"/>
      <c r="W14" s="19"/>
      <c r="X14" s="19"/>
      <c r="Y14" s="19"/>
      <c r="Z14" s="19"/>
    </row>
    <row r="15" spans="1:26" ht="15" customHeight="1">
      <c r="A15" s="4">
        <v>11</v>
      </c>
      <c r="B15" s="18" t="s">
        <v>126</v>
      </c>
      <c r="C15" s="17" t="s">
        <v>54</v>
      </c>
      <c r="D15" s="29" t="s">
        <v>48</v>
      </c>
      <c r="E15" s="85" t="s">
        <v>112</v>
      </c>
      <c r="F15" s="103">
        <v>0.2</v>
      </c>
      <c r="G15" s="73">
        <v>7.0000000000000007E-2</v>
      </c>
      <c r="H15" s="50" t="s">
        <v>16</v>
      </c>
      <c r="I15" s="52">
        <f>F15*G15*K15</f>
        <v>1.4000000000000002E-2</v>
      </c>
      <c r="J15" s="7"/>
      <c r="K15" s="47">
        <v>1</v>
      </c>
      <c r="L15" s="44"/>
      <c r="M15" s="8"/>
      <c r="N15" s="47"/>
      <c r="O15" s="31"/>
      <c r="P15" s="5"/>
      <c r="Q15" s="47"/>
      <c r="R15" s="59"/>
      <c r="S15" s="9"/>
      <c r="T15" s="9"/>
      <c r="U15" s="6"/>
      <c r="V15" s="19"/>
      <c r="W15" s="19"/>
      <c r="X15" s="19"/>
      <c r="Y15" s="19"/>
      <c r="Z15" s="19"/>
    </row>
    <row r="16" spans="1:26" ht="15" customHeight="1">
      <c r="A16" s="4">
        <v>12</v>
      </c>
      <c r="B16" s="18" t="s">
        <v>127</v>
      </c>
      <c r="C16" s="17" t="s">
        <v>55</v>
      </c>
      <c r="D16" s="29" t="s">
        <v>52</v>
      </c>
      <c r="E16" s="86"/>
      <c r="F16" s="104"/>
      <c r="G16" s="73">
        <v>7.0000000000000007E-2</v>
      </c>
      <c r="H16" s="50" t="s">
        <v>16</v>
      </c>
      <c r="I16" s="52">
        <f>F15*G16*K16</f>
        <v>1.4000000000000002E-2</v>
      </c>
      <c r="J16" s="7"/>
      <c r="K16" s="47">
        <v>1</v>
      </c>
      <c r="L16" s="44"/>
      <c r="M16" s="8"/>
      <c r="N16" s="47"/>
      <c r="O16" s="31"/>
      <c r="P16" s="5"/>
      <c r="Q16" s="47"/>
      <c r="R16" s="59"/>
      <c r="S16" s="9"/>
      <c r="T16" s="9"/>
      <c r="U16" s="6"/>
      <c r="V16" s="19"/>
      <c r="W16" s="19"/>
      <c r="X16" s="19"/>
      <c r="Y16" s="19"/>
      <c r="Z16" s="19"/>
    </row>
    <row r="17" spans="1:26" ht="15" customHeight="1">
      <c r="A17" s="4">
        <v>13</v>
      </c>
      <c r="B17" s="18" t="s">
        <v>128</v>
      </c>
      <c r="C17" s="17" t="s">
        <v>51</v>
      </c>
      <c r="D17" s="29" t="s">
        <v>50</v>
      </c>
      <c r="E17" s="86"/>
      <c r="F17" s="104"/>
      <c r="G17" s="73">
        <v>7.0000000000000007E-2</v>
      </c>
      <c r="H17" s="50" t="s">
        <v>16</v>
      </c>
      <c r="I17" s="52">
        <f>F15*G17*K17</f>
        <v>1.4000000000000002E-2</v>
      </c>
      <c r="J17" s="7"/>
      <c r="K17" s="47">
        <v>1</v>
      </c>
      <c r="L17" s="44"/>
      <c r="M17" s="8"/>
      <c r="N17" s="47"/>
      <c r="O17" s="31"/>
      <c r="P17" s="5"/>
      <c r="Q17" s="47"/>
      <c r="R17" s="59"/>
      <c r="S17" s="9"/>
      <c r="T17" s="9"/>
      <c r="U17" s="6"/>
      <c r="V17" s="19"/>
      <c r="W17" s="19"/>
      <c r="X17" s="19"/>
      <c r="Y17" s="19"/>
      <c r="Z17" s="19"/>
    </row>
    <row r="18" spans="1:26" ht="15" customHeight="1">
      <c r="A18" s="4">
        <v>14</v>
      </c>
      <c r="B18" s="18" t="s">
        <v>129</v>
      </c>
      <c r="C18" s="17" t="s">
        <v>53</v>
      </c>
      <c r="D18" s="29" t="s">
        <v>50</v>
      </c>
      <c r="E18" s="86"/>
      <c r="F18" s="104"/>
      <c r="G18" s="73">
        <v>7.0000000000000007E-2</v>
      </c>
      <c r="H18" s="50" t="s">
        <v>16</v>
      </c>
      <c r="I18" s="52">
        <f>F15*G18*K18</f>
        <v>1.4000000000000002E-2</v>
      </c>
      <c r="J18" s="7"/>
      <c r="K18" s="47">
        <v>1</v>
      </c>
      <c r="L18" s="44"/>
      <c r="M18" s="8"/>
      <c r="N18" s="47"/>
      <c r="O18" s="31"/>
      <c r="P18" s="5"/>
      <c r="Q18" s="47"/>
      <c r="R18" s="59"/>
      <c r="S18" s="9"/>
      <c r="T18" s="9"/>
      <c r="U18" s="6"/>
      <c r="V18" s="19"/>
      <c r="W18" s="19"/>
      <c r="X18" s="19"/>
      <c r="Y18" s="19"/>
      <c r="Z18" s="19"/>
    </row>
    <row r="19" spans="1:26" ht="15" customHeight="1">
      <c r="A19" s="4">
        <v>15</v>
      </c>
      <c r="B19" s="18" t="s">
        <v>130</v>
      </c>
      <c r="C19" s="17" t="s">
        <v>56</v>
      </c>
      <c r="D19" s="29" t="s">
        <v>49</v>
      </c>
      <c r="E19" s="86"/>
      <c r="F19" s="104"/>
      <c r="G19" s="73">
        <v>0.08</v>
      </c>
      <c r="H19" s="50" t="s">
        <v>16</v>
      </c>
      <c r="I19" s="52">
        <f>F15*G19*K19</f>
        <v>1.6E-2</v>
      </c>
      <c r="J19" s="7"/>
      <c r="K19" s="47">
        <v>1</v>
      </c>
      <c r="L19" s="44"/>
      <c r="M19" s="8"/>
      <c r="N19" s="47"/>
      <c r="O19" s="31"/>
      <c r="P19" s="5"/>
      <c r="Q19" s="47"/>
      <c r="R19" s="59"/>
      <c r="S19" s="9"/>
      <c r="T19" s="9"/>
      <c r="U19" s="6"/>
      <c r="V19" s="19"/>
      <c r="W19" s="19"/>
      <c r="X19" s="19"/>
      <c r="Y19" s="19"/>
      <c r="Z19" s="19"/>
    </row>
    <row r="20" spans="1:26" ht="15" customHeight="1">
      <c r="A20" s="4">
        <v>16</v>
      </c>
      <c r="B20" s="18" t="s">
        <v>131</v>
      </c>
      <c r="C20" s="17" t="s">
        <v>57</v>
      </c>
      <c r="D20" s="29" t="s">
        <v>58</v>
      </c>
      <c r="E20" s="86"/>
      <c r="F20" s="104"/>
      <c r="G20" s="73">
        <v>0.08</v>
      </c>
      <c r="H20" s="50" t="s">
        <v>16</v>
      </c>
      <c r="I20" s="52">
        <f>F15*G20*K20</f>
        <v>1.6E-2</v>
      </c>
      <c r="J20" s="7"/>
      <c r="K20" s="47">
        <v>1</v>
      </c>
      <c r="L20" s="44"/>
      <c r="M20" s="8"/>
      <c r="N20" s="47"/>
      <c r="O20" s="31"/>
      <c r="P20" s="5"/>
      <c r="Q20" s="47"/>
      <c r="R20" s="59"/>
      <c r="S20" s="9"/>
      <c r="T20" s="9"/>
      <c r="U20" s="6"/>
      <c r="V20" s="19"/>
      <c r="W20" s="19"/>
      <c r="X20" s="19"/>
      <c r="Y20" s="19"/>
      <c r="Z20" s="19"/>
    </row>
    <row r="21" spans="1:26" ht="15" customHeight="1">
      <c r="A21" s="4">
        <v>17</v>
      </c>
      <c r="B21" s="18" t="s">
        <v>132</v>
      </c>
      <c r="C21" s="17" t="s">
        <v>59</v>
      </c>
      <c r="D21" s="29" t="s">
        <v>60</v>
      </c>
      <c r="E21" s="86"/>
      <c r="F21" s="104"/>
      <c r="G21" s="73">
        <v>7.0000000000000007E-2</v>
      </c>
      <c r="H21" s="50" t="s">
        <v>16</v>
      </c>
      <c r="I21" s="52">
        <f>F15*G21*K21</f>
        <v>1.4000000000000002E-2</v>
      </c>
      <c r="J21" s="7"/>
      <c r="K21" s="47">
        <v>1</v>
      </c>
      <c r="L21" s="44"/>
      <c r="M21" s="8"/>
      <c r="N21" s="47"/>
      <c r="O21" s="31"/>
      <c r="P21" s="5"/>
      <c r="Q21" s="47"/>
      <c r="R21" s="59"/>
      <c r="S21" s="9"/>
      <c r="T21" s="9"/>
      <c r="U21" s="6"/>
      <c r="V21" s="19"/>
      <c r="W21" s="19"/>
      <c r="X21" s="19"/>
      <c r="Y21" s="19"/>
      <c r="Z21" s="19"/>
    </row>
    <row r="22" spans="1:26" ht="15" customHeight="1">
      <c r="A22" s="4">
        <v>18</v>
      </c>
      <c r="B22" s="18" t="s">
        <v>133</v>
      </c>
      <c r="C22" s="17" t="s">
        <v>61</v>
      </c>
      <c r="D22" s="29" t="s">
        <v>62</v>
      </c>
      <c r="E22" s="86"/>
      <c r="F22" s="104"/>
      <c r="G22" s="73">
        <v>7.0000000000000007E-2</v>
      </c>
      <c r="H22" s="50" t="s">
        <v>16</v>
      </c>
      <c r="I22" s="52">
        <f>F15*G22*K22</f>
        <v>1.4000000000000002E-2</v>
      </c>
      <c r="J22" s="7"/>
      <c r="K22" s="47">
        <v>1</v>
      </c>
      <c r="L22" s="44"/>
      <c r="M22" s="8"/>
      <c r="N22" s="47"/>
      <c r="O22" s="31"/>
      <c r="P22" s="5"/>
      <c r="Q22" s="47"/>
      <c r="R22" s="59"/>
      <c r="S22" s="9"/>
      <c r="T22" s="9"/>
      <c r="U22" s="6"/>
      <c r="V22" s="19"/>
      <c r="W22" s="19"/>
      <c r="X22" s="19"/>
      <c r="Y22" s="19"/>
      <c r="Z22" s="19"/>
    </row>
    <row r="23" spans="1:26" ht="15" customHeight="1">
      <c r="A23" s="4">
        <v>19</v>
      </c>
      <c r="B23" s="18" t="s">
        <v>134</v>
      </c>
      <c r="C23" s="17" t="s">
        <v>63</v>
      </c>
      <c r="D23" s="29" t="s">
        <v>64</v>
      </c>
      <c r="E23" s="86"/>
      <c r="F23" s="104"/>
      <c r="G23" s="73">
        <v>0.08</v>
      </c>
      <c r="H23" s="50" t="s">
        <v>16</v>
      </c>
      <c r="I23" s="52">
        <f>F15*G23*K23</f>
        <v>1.6E-2</v>
      </c>
      <c r="J23" s="7"/>
      <c r="K23" s="47">
        <v>1</v>
      </c>
      <c r="L23" s="44"/>
      <c r="M23" s="8"/>
      <c r="N23" s="47"/>
      <c r="O23" s="31"/>
      <c r="P23" s="5"/>
      <c r="Q23" s="47"/>
      <c r="R23" s="59"/>
      <c r="S23" s="9"/>
      <c r="T23" s="9"/>
      <c r="U23" s="6"/>
      <c r="V23" s="19"/>
      <c r="W23" s="19"/>
      <c r="X23" s="19"/>
      <c r="Y23" s="19"/>
      <c r="Z23" s="19"/>
    </row>
    <row r="24" spans="1:26" ht="15" customHeight="1">
      <c r="A24" s="4">
        <v>20</v>
      </c>
      <c r="B24" s="18" t="s">
        <v>135</v>
      </c>
      <c r="C24" s="17" t="s">
        <v>65</v>
      </c>
      <c r="D24" s="29" t="s">
        <v>66</v>
      </c>
      <c r="E24" s="86"/>
      <c r="F24" s="104"/>
      <c r="G24" s="73">
        <v>0.09</v>
      </c>
      <c r="H24" s="50" t="s">
        <v>16</v>
      </c>
      <c r="I24" s="52">
        <f>F15*G24*K24</f>
        <v>1.7999999999999999E-2</v>
      </c>
      <c r="J24" s="7"/>
      <c r="K24" s="47">
        <v>1</v>
      </c>
      <c r="L24" s="44"/>
      <c r="M24" s="8"/>
      <c r="N24" s="47"/>
      <c r="O24" s="31"/>
      <c r="P24" s="5"/>
      <c r="Q24" s="47"/>
      <c r="R24" s="59"/>
      <c r="S24" s="9"/>
      <c r="T24" s="9"/>
      <c r="U24" s="6"/>
      <c r="V24" s="19"/>
      <c r="W24" s="19"/>
      <c r="X24" s="19"/>
      <c r="Y24" s="19"/>
      <c r="Z24" s="19"/>
    </row>
    <row r="25" spans="1:26" ht="15" customHeight="1">
      <c r="A25" s="4">
        <v>21</v>
      </c>
      <c r="B25" s="18" t="s">
        <v>136</v>
      </c>
      <c r="C25" s="17" t="s">
        <v>67</v>
      </c>
      <c r="D25" s="29" t="s">
        <v>70</v>
      </c>
      <c r="E25" s="86"/>
      <c r="F25" s="104"/>
      <c r="G25" s="73">
        <v>0.08</v>
      </c>
      <c r="H25" s="50" t="s">
        <v>16</v>
      </c>
      <c r="I25" s="52">
        <f>F15*G25*K25</f>
        <v>1.6E-2</v>
      </c>
      <c r="J25" s="7"/>
      <c r="K25" s="47">
        <v>1</v>
      </c>
      <c r="L25" s="44"/>
      <c r="M25" s="8"/>
      <c r="N25" s="47"/>
      <c r="O25" s="31"/>
      <c r="P25" s="5"/>
      <c r="Q25" s="47"/>
      <c r="R25" s="59"/>
      <c r="S25" s="9"/>
      <c r="T25" s="9"/>
      <c r="U25" s="6"/>
      <c r="V25" s="19"/>
      <c r="W25" s="19"/>
      <c r="X25" s="19"/>
      <c r="Y25" s="19"/>
      <c r="Z25" s="19"/>
    </row>
    <row r="26" spans="1:26" ht="15" customHeight="1">
      <c r="A26" s="4">
        <v>22</v>
      </c>
      <c r="B26" s="18" t="s">
        <v>137</v>
      </c>
      <c r="C26" s="17" t="s">
        <v>68</v>
      </c>
      <c r="D26" s="29" t="s">
        <v>69</v>
      </c>
      <c r="E26" s="86"/>
      <c r="F26" s="104"/>
      <c r="G26" s="73">
        <v>0.08</v>
      </c>
      <c r="H26" s="50" t="s">
        <v>16</v>
      </c>
      <c r="I26" s="52">
        <f>F15*G26*K26</f>
        <v>1.6E-2</v>
      </c>
      <c r="J26" s="7"/>
      <c r="K26" s="47">
        <v>1</v>
      </c>
      <c r="L26" s="44"/>
      <c r="M26" s="8"/>
      <c r="N26" s="47"/>
      <c r="O26" s="31"/>
      <c r="P26" s="5"/>
      <c r="Q26" s="47"/>
      <c r="R26" s="59"/>
      <c r="S26" s="9"/>
      <c r="T26" s="9"/>
      <c r="U26" s="6"/>
      <c r="V26" s="19"/>
      <c r="W26" s="19"/>
      <c r="X26" s="19"/>
      <c r="Y26" s="19"/>
      <c r="Z26" s="19"/>
    </row>
    <row r="27" spans="1:26" ht="15" customHeight="1">
      <c r="A27" s="4">
        <v>23</v>
      </c>
      <c r="B27" s="18" t="s">
        <v>138</v>
      </c>
      <c r="C27" s="17" t="s">
        <v>71</v>
      </c>
      <c r="D27" s="29" t="s">
        <v>73</v>
      </c>
      <c r="E27" s="86"/>
      <c r="F27" s="105"/>
      <c r="G27" s="73">
        <v>0.09</v>
      </c>
      <c r="H27" s="50" t="s">
        <v>16</v>
      </c>
      <c r="I27" s="52">
        <f>F15*G27*K27</f>
        <v>1.7999999999999999E-2</v>
      </c>
      <c r="J27" s="7"/>
      <c r="K27" s="47">
        <v>1</v>
      </c>
      <c r="L27" s="44"/>
      <c r="M27" s="8"/>
      <c r="N27" s="47"/>
      <c r="O27" s="31"/>
      <c r="P27" s="5"/>
      <c r="Q27" s="47"/>
      <c r="R27" s="59"/>
      <c r="S27" s="9"/>
      <c r="T27" s="9"/>
      <c r="U27" s="6"/>
      <c r="V27" s="19"/>
      <c r="W27" s="19"/>
      <c r="X27" s="19"/>
      <c r="Y27" s="19"/>
      <c r="Z27" s="19"/>
    </row>
    <row r="28" spans="1:26" ht="15" customHeight="1">
      <c r="A28" s="93" t="s">
        <v>78</v>
      </c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5"/>
      <c r="V28" s="19"/>
      <c r="W28" s="19"/>
      <c r="X28" s="19"/>
      <c r="Y28" s="19"/>
      <c r="Z28" s="19"/>
    </row>
    <row r="29" spans="1:26" ht="15" customHeight="1">
      <c r="A29" s="4">
        <v>24</v>
      </c>
      <c r="B29" s="18" t="s">
        <v>139</v>
      </c>
      <c r="C29" s="17" t="s">
        <v>72</v>
      </c>
      <c r="D29" s="17" t="s">
        <v>72</v>
      </c>
      <c r="E29" s="102" t="s">
        <v>114</v>
      </c>
      <c r="F29" s="106">
        <v>0.2</v>
      </c>
      <c r="G29" s="74">
        <v>0.25</v>
      </c>
      <c r="H29" s="64" t="s">
        <v>16</v>
      </c>
      <c r="I29" s="65">
        <f>F29*G29*K29</f>
        <v>0.05</v>
      </c>
      <c r="J29" s="66"/>
      <c r="K29" s="81">
        <v>1</v>
      </c>
      <c r="L29" s="68"/>
      <c r="M29" s="69"/>
      <c r="N29" s="67"/>
      <c r="O29" s="63"/>
      <c r="P29" s="70"/>
      <c r="Q29" s="67"/>
      <c r="R29" s="63"/>
      <c r="S29" s="70"/>
      <c r="T29" s="70"/>
      <c r="U29" s="71"/>
      <c r="V29" s="19"/>
      <c r="W29" s="19"/>
      <c r="X29" s="19"/>
      <c r="Y29" s="19"/>
      <c r="Z29" s="19"/>
    </row>
    <row r="30" spans="1:26" ht="15" customHeight="1">
      <c r="A30" s="4">
        <v>25</v>
      </c>
      <c r="B30" s="18" t="s">
        <v>140</v>
      </c>
      <c r="C30" s="17" t="s">
        <v>74</v>
      </c>
      <c r="D30" s="17" t="s">
        <v>74</v>
      </c>
      <c r="E30" s="83"/>
      <c r="F30" s="107"/>
      <c r="G30" s="74">
        <v>0.25</v>
      </c>
      <c r="H30" s="64" t="s">
        <v>16</v>
      </c>
      <c r="I30" s="65">
        <f>F29*G30*K30</f>
        <v>0.05</v>
      </c>
      <c r="J30" s="66"/>
      <c r="K30" s="81">
        <v>1</v>
      </c>
      <c r="L30" s="68"/>
      <c r="M30" s="69"/>
      <c r="N30" s="67"/>
      <c r="O30" s="63"/>
      <c r="P30" s="70"/>
      <c r="Q30" s="67"/>
      <c r="R30" s="63"/>
      <c r="S30" s="70"/>
      <c r="T30" s="70"/>
      <c r="U30" s="71"/>
      <c r="V30" s="19"/>
      <c r="W30" s="19"/>
      <c r="X30" s="19"/>
      <c r="Y30" s="19"/>
      <c r="Z30" s="19"/>
    </row>
    <row r="31" spans="1:26" ht="15" customHeight="1">
      <c r="A31" s="4">
        <v>26</v>
      </c>
      <c r="B31" s="18" t="s">
        <v>141</v>
      </c>
      <c r="C31" s="17" t="s">
        <v>108</v>
      </c>
      <c r="D31" s="17" t="s">
        <v>108</v>
      </c>
      <c r="E31" s="83"/>
      <c r="F31" s="107"/>
      <c r="G31" s="74">
        <v>0.25</v>
      </c>
      <c r="H31" s="64" t="s">
        <v>16</v>
      </c>
      <c r="I31" s="65">
        <f>F29*G31*K31</f>
        <v>0.05</v>
      </c>
      <c r="J31" s="66"/>
      <c r="K31" s="81">
        <v>1</v>
      </c>
      <c r="L31" s="68"/>
      <c r="M31" s="69"/>
      <c r="N31" s="67"/>
      <c r="O31" s="63"/>
      <c r="P31" s="70"/>
      <c r="Q31" s="67"/>
      <c r="R31" s="63"/>
      <c r="S31" s="70"/>
      <c r="T31" s="70"/>
      <c r="U31" s="71"/>
      <c r="V31" s="19"/>
      <c r="W31" s="19"/>
      <c r="X31" s="19"/>
      <c r="Y31" s="19"/>
      <c r="Z31" s="19"/>
    </row>
    <row r="32" spans="1:26" ht="15" customHeight="1">
      <c r="A32" s="4">
        <v>27</v>
      </c>
      <c r="B32" s="18" t="s">
        <v>142</v>
      </c>
      <c r="C32" s="17" t="s">
        <v>75</v>
      </c>
      <c r="D32" s="29" t="s">
        <v>110</v>
      </c>
      <c r="E32" s="83"/>
      <c r="F32" s="107"/>
      <c r="G32" s="74">
        <v>0.25</v>
      </c>
      <c r="H32" s="64" t="s">
        <v>16</v>
      </c>
      <c r="I32" s="65">
        <f>F29*G32*K32</f>
        <v>0.05</v>
      </c>
      <c r="J32" s="66"/>
      <c r="K32" s="81">
        <v>1</v>
      </c>
      <c r="L32" s="68"/>
      <c r="M32" s="69"/>
      <c r="N32" s="67"/>
      <c r="O32" s="63"/>
      <c r="P32" s="70"/>
      <c r="Q32" s="67"/>
      <c r="R32" s="63"/>
      <c r="S32" s="70"/>
      <c r="T32" s="70"/>
      <c r="U32" s="71"/>
      <c r="V32" s="19"/>
      <c r="W32" s="19"/>
      <c r="X32" s="19"/>
      <c r="Y32" s="19"/>
      <c r="Z32" s="19"/>
    </row>
    <row r="33" spans="1:26" ht="15" customHeight="1">
      <c r="A33" s="90" t="s">
        <v>79</v>
      </c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2"/>
      <c r="V33" s="19"/>
      <c r="W33" s="19"/>
      <c r="X33" s="19"/>
      <c r="Y33" s="19"/>
      <c r="Z33" s="19"/>
    </row>
    <row r="34" spans="1:26" ht="15" customHeight="1">
      <c r="A34" s="4">
        <v>28</v>
      </c>
      <c r="B34" s="18" t="s">
        <v>116</v>
      </c>
      <c r="C34" s="17" t="s">
        <v>80</v>
      </c>
      <c r="D34" s="29" t="s">
        <v>82</v>
      </c>
      <c r="E34" s="83" t="s">
        <v>113</v>
      </c>
      <c r="F34" s="106">
        <v>0.25</v>
      </c>
      <c r="G34" s="73">
        <v>7.0000000000000007E-2</v>
      </c>
      <c r="H34" s="64" t="s">
        <v>16</v>
      </c>
      <c r="I34" s="65">
        <f>F34*G34*K34</f>
        <v>1.7500000000000002E-2</v>
      </c>
      <c r="J34" s="66"/>
      <c r="K34" s="81">
        <v>1</v>
      </c>
      <c r="L34" s="68"/>
      <c r="M34" s="69"/>
      <c r="N34" s="67"/>
      <c r="O34" s="63"/>
      <c r="P34" s="70"/>
      <c r="Q34" s="67"/>
      <c r="R34" s="63"/>
      <c r="S34" s="70"/>
      <c r="T34" s="70"/>
      <c r="U34" s="71"/>
      <c r="V34" s="19"/>
      <c r="W34" s="19"/>
      <c r="X34" s="19"/>
      <c r="Y34" s="19"/>
      <c r="Z34" s="19"/>
    </row>
    <row r="35" spans="1:26" ht="15" customHeight="1">
      <c r="A35" s="4">
        <v>29</v>
      </c>
      <c r="B35" s="18" t="s">
        <v>143</v>
      </c>
      <c r="C35" s="17" t="s">
        <v>81</v>
      </c>
      <c r="D35" s="29" t="s">
        <v>84</v>
      </c>
      <c r="E35" s="83"/>
      <c r="F35" s="107"/>
      <c r="G35" s="73">
        <v>7.0000000000000007E-2</v>
      </c>
      <c r="H35" s="64" t="s">
        <v>16</v>
      </c>
      <c r="I35" s="65">
        <f>F34*G35*K35</f>
        <v>1.7500000000000002E-2</v>
      </c>
      <c r="J35" s="66"/>
      <c r="K35" s="81">
        <v>1</v>
      </c>
      <c r="L35" s="68"/>
      <c r="M35" s="69"/>
      <c r="N35" s="67"/>
      <c r="O35" s="63"/>
      <c r="P35" s="70"/>
      <c r="Q35" s="67"/>
      <c r="R35" s="63"/>
      <c r="S35" s="70"/>
      <c r="T35" s="70"/>
      <c r="U35" s="71"/>
      <c r="V35" s="19"/>
      <c r="W35" s="19"/>
      <c r="X35" s="19"/>
      <c r="Y35" s="19"/>
      <c r="Z35" s="19"/>
    </row>
    <row r="36" spans="1:26" ht="15" customHeight="1">
      <c r="A36" s="4">
        <v>30</v>
      </c>
      <c r="B36" s="18" t="s">
        <v>144</v>
      </c>
      <c r="C36" s="17" t="s">
        <v>83</v>
      </c>
      <c r="D36" s="29" t="s">
        <v>85</v>
      </c>
      <c r="E36" s="83"/>
      <c r="F36" s="107"/>
      <c r="G36" s="73">
        <v>7.0000000000000007E-2</v>
      </c>
      <c r="H36" s="64" t="s">
        <v>16</v>
      </c>
      <c r="I36" s="65">
        <f>F34*G36*K36</f>
        <v>1.7500000000000002E-2</v>
      </c>
      <c r="J36" s="66"/>
      <c r="K36" s="81">
        <v>1</v>
      </c>
      <c r="L36" s="68"/>
      <c r="M36" s="69"/>
      <c r="N36" s="67"/>
      <c r="O36" s="63"/>
      <c r="P36" s="70"/>
      <c r="Q36" s="67"/>
      <c r="R36" s="63"/>
      <c r="S36" s="70"/>
      <c r="T36" s="70"/>
      <c r="U36" s="71"/>
      <c r="V36" s="19"/>
      <c r="W36" s="19"/>
      <c r="X36" s="19"/>
      <c r="Y36" s="19"/>
      <c r="Z36" s="19"/>
    </row>
    <row r="37" spans="1:26" ht="15" customHeight="1">
      <c r="A37" s="4">
        <v>31</v>
      </c>
      <c r="B37" s="18" t="s">
        <v>145</v>
      </c>
      <c r="C37" s="17" t="s">
        <v>104</v>
      </c>
      <c r="D37" s="29" t="s">
        <v>85</v>
      </c>
      <c r="E37" s="83"/>
      <c r="F37" s="107"/>
      <c r="G37" s="73">
        <v>7.0000000000000007E-2</v>
      </c>
      <c r="H37" s="64" t="s">
        <v>16</v>
      </c>
      <c r="I37" s="65">
        <f>F34*G37*K37</f>
        <v>1.7500000000000002E-2</v>
      </c>
      <c r="J37" s="66"/>
      <c r="K37" s="81">
        <v>1</v>
      </c>
      <c r="L37" s="68"/>
      <c r="M37" s="69"/>
      <c r="N37" s="67"/>
      <c r="O37" s="63"/>
      <c r="P37" s="70"/>
      <c r="Q37" s="67"/>
      <c r="R37" s="63"/>
      <c r="S37" s="70"/>
      <c r="T37" s="70"/>
      <c r="U37" s="71"/>
      <c r="V37" s="19"/>
      <c r="W37" s="19"/>
      <c r="X37" s="19"/>
      <c r="Y37" s="19"/>
      <c r="Z37" s="19"/>
    </row>
    <row r="38" spans="1:26" ht="15" customHeight="1">
      <c r="A38" s="4">
        <v>32</v>
      </c>
      <c r="B38" s="18" t="s">
        <v>146</v>
      </c>
      <c r="C38" s="17" t="s">
        <v>95</v>
      </c>
      <c r="D38" s="29" t="s">
        <v>94</v>
      </c>
      <c r="E38" s="83"/>
      <c r="F38" s="107"/>
      <c r="G38" s="73">
        <v>0.08</v>
      </c>
      <c r="H38" s="64" t="s">
        <v>16</v>
      </c>
      <c r="I38" s="65">
        <f>F34*G38*K38</f>
        <v>0.02</v>
      </c>
      <c r="J38" s="66"/>
      <c r="K38" s="81">
        <v>1</v>
      </c>
      <c r="L38" s="68"/>
      <c r="M38" s="69"/>
      <c r="N38" s="67"/>
      <c r="O38" s="63"/>
      <c r="P38" s="70"/>
      <c r="Q38" s="67"/>
      <c r="R38" s="63"/>
      <c r="S38" s="70"/>
      <c r="T38" s="70"/>
      <c r="U38" s="71"/>
      <c r="V38" s="19"/>
      <c r="W38" s="19"/>
      <c r="X38" s="19"/>
      <c r="Y38" s="19"/>
      <c r="Z38" s="19"/>
    </row>
    <row r="39" spans="1:26" ht="15" customHeight="1">
      <c r="A39" s="4">
        <v>33</v>
      </c>
      <c r="B39" s="18" t="s">
        <v>147</v>
      </c>
      <c r="C39" s="17" t="s">
        <v>96</v>
      </c>
      <c r="D39" s="29" t="s">
        <v>86</v>
      </c>
      <c r="E39" s="83"/>
      <c r="F39" s="107"/>
      <c r="G39" s="73">
        <v>0.08</v>
      </c>
      <c r="H39" s="64" t="s">
        <v>16</v>
      </c>
      <c r="I39" s="65">
        <f>F34*G39*K39</f>
        <v>0.02</v>
      </c>
      <c r="J39" s="66"/>
      <c r="K39" s="81">
        <v>1</v>
      </c>
      <c r="L39" s="68"/>
      <c r="M39" s="69"/>
      <c r="N39" s="67"/>
      <c r="O39" s="63"/>
      <c r="P39" s="70"/>
      <c r="Q39" s="67"/>
      <c r="R39" s="63"/>
      <c r="S39" s="70"/>
      <c r="T39" s="70"/>
      <c r="U39" s="71"/>
      <c r="V39" s="19"/>
      <c r="W39" s="19"/>
      <c r="X39" s="19"/>
      <c r="Y39" s="19"/>
      <c r="Z39" s="19"/>
    </row>
    <row r="40" spans="1:26" ht="15" customHeight="1">
      <c r="A40" s="4">
        <v>34</v>
      </c>
      <c r="B40" s="18" t="s">
        <v>148</v>
      </c>
      <c r="C40" s="17" t="s">
        <v>97</v>
      </c>
      <c r="D40" s="29" t="s">
        <v>87</v>
      </c>
      <c r="E40" s="83"/>
      <c r="F40" s="107"/>
      <c r="G40" s="73">
        <v>7.0000000000000007E-2</v>
      </c>
      <c r="H40" s="64" t="s">
        <v>16</v>
      </c>
      <c r="I40" s="65">
        <f>F34*G40*K40</f>
        <v>1.7500000000000002E-2</v>
      </c>
      <c r="J40" s="66"/>
      <c r="K40" s="81">
        <v>1</v>
      </c>
      <c r="L40" s="68"/>
      <c r="M40" s="69"/>
      <c r="N40" s="67"/>
      <c r="O40" s="63"/>
      <c r="P40" s="70"/>
      <c r="Q40" s="67"/>
      <c r="R40" s="63"/>
      <c r="S40" s="70"/>
      <c r="T40" s="70"/>
      <c r="U40" s="71"/>
      <c r="V40" s="19"/>
      <c r="W40" s="19"/>
      <c r="X40" s="19"/>
      <c r="Y40" s="19"/>
      <c r="Z40" s="19"/>
    </row>
    <row r="41" spans="1:26" ht="15" customHeight="1">
      <c r="A41" s="4">
        <v>35</v>
      </c>
      <c r="B41" s="18" t="s">
        <v>149</v>
      </c>
      <c r="C41" s="17" t="s">
        <v>98</v>
      </c>
      <c r="D41" s="29" t="s">
        <v>88</v>
      </c>
      <c r="E41" s="83"/>
      <c r="F41" s="107"/>
      <c r="G41" s="73">
        <v>7.0000000000000007E-2</v>
      </c>
      <c r="H41" s="64" t="s">
        <v>16</v>
      </c>
      <c r="I41" s="65">
        <f>F34*G41*K41</f>
        <v>1.7500000000000002E-2</v>
      </c>
      <c r="J41" s="66"/>
      <c r="K41" s="81">
        <v>1</v>
      </c>
      <c r="L41" s="68"/>
      <c r="M41" s="69"/>
      <c r="N41" s="67"/>
      <c r="O41" s="63"/>
      <c r="P41" s="70"/>
      <c r="Q41" s="67"/>
      <c r="R41" s="63"/>
      <c r="S41" s="70"/>
      <c r="T41" s="70"/>
      <c r="U41" s="71"/>
      <c r="V41" s="19"/>
      <c r="W41" s="19"/>
      <c r="X41" s="19"/>
      <c r="Y41" s="19"/>
      <c r="Z41" s="19"/>
    </row>
    <row r="42" spans="1:26" ht="15" customHeight="1">
      <c r="A42" s="4">
        <v>36</v>
      </c>
      <c r="B42" s="18" t="s">
        <v>150</v>
      </c>
      <c r="C42" s="17" t="s">
        <v>99</v>
      </c>
      <c r="D42" s="29" t="s">
        <v>89</v>
      </c>
      <c r="E42" s="83"/>
      <c r="F42" s="107"/>
      <c r="G42" s="73">
        <v>0.08</v>
      </c>
      <c r="H42" s="64" t="s">
        <v>16</v>
      </c>
      <c r="I42" s="65">
        <f>F34*G42*K42</f>
        <v>0.02</v>
      </c>
      <c r="J42" s="66"/>
      <c r="K42" s="81">
        <v>1</v>
      </c>
      <c r="L42" s="68"/>
      <c r="M42" s="69"/>
      <c r="N42" s="67"/>
      <c r="O42" s="63"/>
      <c r="P42" s="70"/>
      <c r="Q42" s="67"/>
      <c r="R42" s="63"/>
      <c r="S42" s="70"/>
      <c r="T42" s="70"/>
      <c r="U42" s="71"/>
      <c r="V42" s="19"/>
      <c r="W42" s="19"/>
      <c r="X42" s="19"/>
      <c r="Y42" s="19"/>
      <c r="Z42" s="19"/>
    </row>
    <row r="43" spans="1:26" ht="15" customHeight="1">
      <c r="A43" s="4">
        <v>37</v>
      </c>
      <c r="B43" s="18" t="s">
        <v>151</v>
      </c>
      <c r="C43" s="17" t="s">
        <v>100</v>
      </c>
      <c r="D43" s="29" t="s">
        <v>90</v>
      </c>
      <c r="E43" s="83"/>
      <c r="F43" s="107"/>
      <c r="G43" s="73">
        <v>0.09</v>
      </c>
      <c r="H43" s="64" t="s">
        <v>16</v>
      </c>
      <c r="I43" s="65">
        <f>F34*G43*K43</f>
        <v>2.2499999999999999E-2</v>
      </c>
      <c r="J43" s="66"/>
      <c r="K43" s="81">
        <v>1</v>
      </c>
      <c r="L43" s="68"/>
      <c r="M43" s="69"/>
      <c r="N43" s="67"/>
      <c r="O43" s="63"/>
      <c r="P43" s="70"/>
      <c r="Q43" s="67"/>
      <c r="R43" s="63"/>
      <c r="S43" s="70"/>
      <c r="T43" s="70"/>
      <c r="U43" s="71"/>
      <c r="V43" s="19"/>
      <c r="W43" s="19"/>
      <c r="X43" s="19"/>
      <c r="Y43" s="19"/>
      <c r="Z43" s="19"/>
    </row>
    <row r="44" spans="1:26" ht="15" customHeight="1">
      <c r="A44" s="4">
        <v>38</v>
      </c>
      <c r="B44" s="18" t="s">
        <v>152</v>
      </c>
      <c r="C44" s="17" t="s">
        <v>101</v>
      </c>
      <c r="D44" s="29" t="s">
        <v>91</v>
      </c>
      <c r="E44" s="83"/>
      <c r="F44" s="107"/>
      <c r="G44" s="73">
        <v>0.08</v>
      </c>
      <c r="H44" s="64" t="s">
        <v>16</v>
      </c>
      <c r="I44" s="65">
        <f>F34*G44*K44</f>
        <v>0.02</v>
      </c>
      <c r="J44" s="66"/>
      <c r="K44" s="81">
        <v>1</v>
      </c>
      <c r="L44" s="68"/>
      <c r="M44" s="69"/>
      <c r="N44" s="67"/>
      <c r="O44" s="63"/>
      <c r="P44" s="70"/>
      <c r="Q44" s="67"/>
      <c r="R44" s="63"/>
      <c r="S44" s="70"/>
      <c r="T44" s="70"/>
      <c r="U44" s="71"/>
      <c r="V44" s="19"/>
      <c r="W44" s="19"/>
      <c r="X44" s="19"/>
      <c r="Y44" s="19"/>
      <c r="Z44" s="19"/>
    </row>
    <row r="45" spans="1:26" ht="15" customHeight="1">
      <c r="A45" s="4">
        <v>39</v>
      </c>
      <c r="B45" s="18" t="s">
        <v>153</v>
      </c>
      <c r="C45" s="17" t="s">
        <v>102</v>
      </c>
      <c r="D45" s="29" t="s">
        <v>92</v>
      </c>
      <c r="E45" s="83"/>
      <c r="F45" s="107"/>
      <c r="G45" s="73">
        <v>0.08</v>
      </c>
      <c r="H45" s="64" t="s">
        <v>16</v>
      </c>
      <c r="I45" s="65">
        <f>F34*G45*K45</f>
        <v>0.02</v>
      </c>
      <c r="J45" s="66"/>
      <c r="K45" s="81">
        <v>1</v>
      </c>
      <c r="L45" s="68"/>
      <c r="M45" s="69"/>
      <c r="N45" s="81"/>
      <c r="O45" s="63"/>
      <c r="P45" s="70"/>
      <c r="Q45" s="67"/>
      <c r="R45" s="63"/>
      <c r="S45" s="70"/>
      <c r="T45" s="70"/>
      <c r="U45" s="71"/>
      <c r="V45" s="19"/>
      <c r="W45" s="19"/>
      <c r="X45" s="19"/>
      <c r="Y45" s="19"/>
      <c r="Z45" s="19"/>
    </row>
    <row r="46" spans="1:26" ht="15" customHeight="1">
      <c r="A46" s="4">
        <v>40</v>
      </c>
      <c r="B46" s="18" t="s">
        <v>154</v>
      </c>
      <c r="C46" s="17" t="s">
        <v>103</v>
      </c>
      <c r="D46" s="29" t="s">
        <v>93</v>
      </c>
      <c r="E46" s="84"/>
      <c r="F46" s="108"/>
      <c r="G46" s="73">
        <v>0.09</v>
      </c>
      <c r="H46" s="64" t="s">
        <v>16</v>
      </c>
      <c r="I46" s="65">
        <f>F34*G46*K46</f>
        <v>2.2499999999999999E-2</v>
      </c>
      <c r="J46" s="66"/>
      <c r="K46" s="81">
        <v>1</v>
      </c>
      <c r="L46" s="68"/>
      <c r="M46" s="69"/>
      <c r="N46" s="81"/>
      <c r="O46" s="63"/>
      <c r="P46" s="70"/>
      <c r="Q46" s="67"/>
      <c r="R46" s="63"/>
      <c r="S46" s="70"/>
      <c r="T46" s="70"/>
      <c r="U46" s="71"/>
      <c r="V46" s="19"/>
      <c r="W46" s="19"/>
      <c r="X46" s="19"/>
      <c r="Y46" s="19"/>
      <c r="Z46" s="19"/>
    </row>
    <row r="47" spans="1:26" ht="15" customHeight="1">
      <c r="A47" s="93" t="s">
        <v>111</v>
      </c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5"/>
      <c r="V47" s="19"/>
      <c r="W47" s="19"/>
      <c r="X47" s="19"/>
      <c r="Y47" s="19"/>
      <c r="Z47" s="19"/>
    </row>
    <row r="48" spans="1:26" ht="15" customHeight="1">
      <c r="A48" s="4">
        <v>41</v>
      </c>
      <c r="B48" s="18" t="s">
        <v>274</v>
      </c>
      <c r="C48" s="17" t="s">
        <v>105</v>
      </c>
      <c r="D48" s="17" t="s">
        <v>105</v>
      </c>
      <c r="E48" s="102" t="s">
        <v>115</v>
      </c>
      <c r="F48" s="106">
        <v>0.25</v>
      </c>
      <c r="G48" s="74">
        <v>0.25</v>
      </c>
      <c r="H48" s="64" t="s">
        <v>16</v>
      </c>
      <c r="I48" s="65">
        <f>F48*G48*K48</f>
        <v>6.25E-2</v>
      </c>
      <c r="J48" s="66"/>
      <c r="K48" s="81">
        <v>1</v>
      </c>
      <c r="L48" s="68"/>
      <c r="M48" s="69"/>
      <c r="N48" s="67"/>
      <c r="O48" s="63"/>
      <c r="P48" s="70"/>
      <c r="Q48" s="67"/>
      <c r="R48" s="63"/>
      <c r="S48" s="70"/>
      <c r="T48" s="70"/>
      <c r="U48" s="71"/>
      <c r="V48" s="19"/>
      <c r="W48" s="19"/>
      <c r="X48" s="19"/>
      <c r="Y48" s="19"/>
      <c r="Z48" s="19"/>
    </row>
    <row r="49" spans="1:26" ht="15" customHeight="1">
      <c r="A49" s="4">
        <v>42</v>
      </c>
      <c r="B49" s="18" t="s">
        <v>275</v>
      </c>
      <c r="C49" s="17" t="s">
        <v>106</v>
      </c>
      <c r="D49" s="17" t="s">
        <v>106</v>
      </c>
      <c r="E49" s="83"/>
      <c r="F49" s="107"/>
      <c r="G49" s="74">
        <v>0.25</v>
      </c>
      <c r="H49" s="64" t="s">
        <v>16</v>
      </c>
      <c r="I49" s="65">
        <f>F48*G49*K49</f>
        <v>6.25E-2</v>
      </c>
      <c r="J49" s="66"/>
      <c r="K49" s="81">
        <v>1</v>
      </c>
      <c r="L49" s="68"/>
      <c r="M49" s="69"/>
      <c r="N49" s="67"/>
      <c r="O49" s="63"/>
      <c r="P49" s="70"/>
      <c r="Q49" s="67"/>
      <c r="R49" s="63"/>
      <c r="S49" s="70"/>
      <c r="T49" s="70"/>
      <c r="U49" s="71"/>
      <c r="V49" s="19"/>
      <c r="W49" s="19"/>
      <c r="X49" s="19"/>
      <c r="Y49" s="19"/>
      <c r="Z49" s="19"/>
    </row>
    <row r="50" spans="1:26" ht="15" customHeight="1">
      <c r="A50" s="4">
        <v>43</v>
      </c>
      <c r="B50" s="18" t="s">
        <v>276</v>
      </c>
      <c r="C50" s="17" t="s">
        <v>107</v>
      </c>
      <c r="D50" s="17" t="s">
        <v>107</v>
      </c>
      <c r="E50" s="83"/>
      <c r="F50" s="107"/>
      <c r="G50" s="74">
        <v>0.25</v>
      </c>
      <c r="H50" s="64" t="s">
        <v>16</v>
      </c>
      <c r="I50" s="65">
        <f>F48*G50*K50</f>
        <v>6.25E-2</v>
      </c>
      <c r="J50" s="66"/>
      <c r="K50" s="81">
        <v>1</v>
      </c>
      <c r="L50" s="68"/>
      <c r="M50" s="69"/>
      <c r="N50" s="67"/>
      <c r="O50" s="63"/>
      <c r="P50" s="70"/>
      <c r="Q50" s="67"/>
      <c r="R50" s="63"/>
      <c r="S50" s="70"/>
      <c r="T50" s="70"/>
      <c r="U50" s="71"/>
      <c r="V50" s="19"/>
      <c r="W50" s="19"/>
      <c r="X50" s="19"/>
      <c r="Y50" s="19"/>
      <c r="Z50" s="19"/>
    </row>
    <row r="51" spans="1:26" ht="15" customHeight="1">
      <c r="A51" s="4">
        <v>44</v>
      </c>
      <c r="B51" s="18" t="s">
        <v>277</v>
      </c>
      <c r="C51" s="17" t="s">
        <v>75</v>
      </c>
      <c r="D51" s="29" t="s">
        <v>109</v>
      </c>
      <c r="E51" s="83"/>
      <c r="F51" s="107"/>
      <c r="G51" s="74">
        <v>0.25</v>
      </c>
      <c r="H51" s="64" t="s">
        <v>16</v>
      </c>
      <c r="I51" s="65">
        <f>F48*G51*K51</f>
        <v>6.25E-2</v>
      </c>
      <c r="J51" s="66"/>
      <c r="K51" s="81">
        <v>1</v>
      </c>
      <c r="L51" s="68"/>
      <c r="M51" s="69"/>
      <c r="N51" s="67"/>
      <c r="O51" s="63"/>
      <c r="P51" s="70"/>
      <c r="Q51" s="67"/>
      <c r="R51" s="63"/>
      <c r="S51" s="70"/>
      <c r="T51" s="70"/>
      <c r="U51" s="71"/>
      <c r="V51" s="19"/>
      <c r="W51" s="19"/>
      <c r="X51" s="19"/>
      <c r="Y51" s="19"/>
      <c r="Z51" s="19"/>
    </row>
    <row r="52" spans="1:26" s="20" customFormat="1" ht="12.75">
      <c r="B52" s="22"/>
      <c r="F52" s="23"/>
      <c r="G52" s="75"/>
      <c r="H52" s="24"/>
      <c r="I52" s="53"/>
      <c r="J52" s="25"/>
      <c r="K52" s="48"/>
      <c r="L52" s="26"/>
      <c r="M52" s="26"/>
      <c r="N52" s="48"/>
      <c r="O52" s="24"/>
      <c r="P52" s="24"/>
      <c r="Q52" s="48"/>
      <c r="R52" s="24"/>
      <c r="S52" s="24"/>
      <c r="T52" s="24"/>
      <c r="U52" s="27"/>
      <c r="V52" s="19"/>
      <c r="W52" s="19"/>
      <c r="X52" s="19"/>
      <c r="Y52" s="19"/>
      <c r="Z52" s="19"/>
    </row>
    <row r="53" spans="1:26" ht="12.75">
      <c r="F53" s="15"/>
      <c r="G53" s="76"/>
      <c r="H53" s="11"/>
      <c r="I53" s="54">
        <f>SUM(I4:I13)+SUM(I15:I27)+SUM(I29:I32)+SUM(I34:I46)+SUM(I48:I51)</f>
        <v>1</v>
      </c>
      <c r="J53" s="12"/>
      <c r="K53" s="58"/>
      <c r="L53" s="45">
        <f>SUM(L4:L13)+SUM(L15:L27)+SUM(L29:L32)+SUM(L34:L46)+SUM(L48:L51)</f>
        <v>0</v>
      </c>
      <c r="M53" s="13"/>
      <c r="N53" s="58"/>
      <c r="O53" s="57">
        <f>SUM(O4:O13)+SUM(O15:O27)+SUM(O29:O32)+SUM(O34:O46)+SUM(O48:O51)</f>
        <v>0</v>
      </c>
      <c r="P53" s="12"/>
      <c r="Q53" s="58"/>
      <c r="R53" s="11"/>
      <c r="S53" s="11"/>
      <c r="T53" s="11"/>
      <c r="U53" s="16">
        <f>SUM(U4:U13)+SUM(U15:U27)+SUM(U29:U32)+SUM(U34:U46)+SUM(U48:U51)</f>
        <v>0</v>
      </c>
      <c r="V53" s="19"/>
      <c r="W53" s="19"/>
      <c r="X53" s="19"/>
      <c r="Y53" s="19"/>
      <c r="Z53" s="19"/>
    </row>
    <row r="54" spans="1:26" ht="12.75">
      <c r="F54" s="10"/>
      <c r="G54" s="76"/>
      <c r="H54" s="11"/>
      <c r="I54" s="55"/>
      <c r="J54" s="12"/>
      <c r="K54" s="58"/>
      <c r="L54" s="13"/>
      <c r="M54" s="13"/>
      <c r="N54" s="58"/>
      <c r="O54" s="11"/>
      <c r="P54" s="11"/>
      <c r="Q54" s="58"/>
      <c r="R54" s="11"/>
      <c r="S54" s="11"/>
      <c r="T54" s="11"/>
      <c r="U54" s="14"/>
      <c r="V54" s="19"/>
      <c r="W54" s="19"/>
      <c r="X54" s="19"/>
      <c r="Y54" s="19"/>
      <c r="Z54" s="19"/>
    </row>
    <row r="55" spans="1:26" ht="15.75" customHeight="1">
      <c r="K55" s="48"/>
    </row>
  </sheetData>
  <mergeCells count="16">
    <mergeCell ref="F48:F51"/>
    <mergeCell ref="A33:U33"/>
    <mergeCell ref="A47:U47"/>
    <mergeCell ref="E48:E51"/>
    <mergeCell ref="E34:E46"/>
    <mergeCell ref="E15:E27"/>
    <mergeCell ref="A2:U2"/>
    <mergeCell ref="A3:U3"/>
    <mergeCell ref="A14:U14"/>
    <mergeCell ref="A28:U28"/>
    <mergeCell ref="E4:E13"/>
    <mergeCell ref="F4:F13"/>
    <mergeCell ref="E29:E32"/>
    <mergeCell ref="F15:F27"/>
    <mergeCell ref="F29:F32"/>
    <mergeCell ref="F34:F46"/>
  </mergeCells>
  <conditionalFormatting sqref="N15:N27 K15:K27 Q15:Q27 K4:K13 N4:N13 Q4:Q13">
    <cfRule type="cellIs" dxfId="2" priority="88" operator="between">
      <formula>$Y$5</formula>
      <formula>$Y$6</formula>
    </cfRule>
    <cfRule type="cellIs" dxfId="1" priority="89" operator="between">
      <formula>$Y$4</formula>
      <formula>$Y$5</formula>
    </cfRule>
    <cfRule type="cellIs" dxfId="0" priority="90" operator="between">
      <formula>$Y$2</formula>
      <formula>$Y$4</formula>
    </cfRule>
  </conditionalFormatting>
  <pageMargins left="0.7" right="0.7" top="0.75" bottom="0.75" header="0.3" footer="0.3"/>
  <pageSetup paperSize="9" orientation="portrait" horizontalDpi="75" verticalDpi="75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C8" sqref="C8"/>
    </sheetView>
  </sheetViews>
  <sheetFormatPr defaultColWidth="15.140625" defaultRowHeight="12.75"/>
  <cols>
    <col min="1" max="1" width="4" customWidth="1"/>
    <col min="3" max="3" width="76.140625" bestFit="1" customWidth="1"/>
    <col min="4" max="4" width="50.140625" bestFit="1" customWidth="1"/>
  </cols>
  <sheetData>
    <row r="1" spans="2:9" ht="18">
      <c r="B1" s="109" t="s">
        <v>157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158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159</v>
      </c>
      <c r="D7" s="42" t="s">
        <v>160</v>
      </c>
      <c r="E7" s="41"/>
      <c r="F7" s="41"/>
      <c r="G7" s="41"/>
      <c r="H7" s="41"/>
      <c r="I7" s="41"/>
    </row>
    <row r="8" spans="2:9" ht="25.5">
      <c r="B8" s="39" t="s">
        <v>7</v>
      </c>
      <c r="C8" s="42" t="s">
        <v>293</v>
      </c>
      <c r="D8" s="42" t="s">
        <v>292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C8" sqref="C8"/>
    </sheetView>
  </sheetViews>
  <sheetFormatPr defaultColWidth="15.140625" defaultRowHeight="12.75"/>
  <cols>
    <col min="1" max="1" width="4" customWidth="1"/>
    <col min="3" max="3" width="81.85546875" bestFit="1" customWidth="1"/>
    <col min="4" max="4" width="50.140625" bestFit="1" customWidth="1"/>
  </cols>
  <sheetData>
    <row r="1" spans="2:9" ht="18">
      <c r="B1" s="109" t="s">
        <v>161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162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163</v>
      </c>
      <c r="D7" s="42" t="s">
        <v>160</v>
      </c>
      <c r="E7" s="41"/>
      <c r="F7" s="41"/>
      <c r="G7" s="41"/>
      <c r="H7" s="41"/>
      <c r="I7" s="41"/>
    </row>
    <row r="8" spans="2:9" ht="25.5">
      <c r="B8" s="39" t="s">
        <v>7</v>
      </c>
      <c r="C8" s="42" t="s">
        <v>293</v>
      </c>
      <c r="D8" s="42" t="s">
        <v>292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C8" sqref="C8"/>
    </sheetView>
  </sheetViews>
  <sheetFormatPr defaultColWidth="15.140625" defaultRowHeight="12.75"/>
  <cols>
    <col min="1" max="1" width="4" customWidth="1"/>
    <col min="3" max="3" width="79" bestFit="1" customWidth="1"/>
    <col min="4" max="4" width="50.140625" bestFit="1" customWidth="1"/>
  </cols>
  <sheetData>
    <row r="1" spans="2:9" ht="18">
      <c r="B1" s="109" t="s">
        <v>164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165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166</v>
      </c>
      <c r="D7" s="42" t="s">
        <v>160</v>
      </c>
      <c r="E7" s="41"/>
      <c r="F7" s="41"/>
      <c r="G7" s="41"/>
      <c r="H7" s="41"/>
      <c r="I7" s="41"/>
    </row>
    <row r="8" spans="2:9" ht="25.5">
      <c r="B8" s="39" t="s">
        <v>7</v>
      </c>
      <c r="C8" s="42" t="s">
        <v>294</v>
      </c>
      <c r="D8" s="42" t="s">
        <v>292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C10" sqref="C10"/>
    </sheetView>
  </sheetViews>
  <sheetFormatPr defaultColWidth="15.140625" defaultRowHeight="12.75"/>
  <cols>
    <col min="1" max="1" width="4" customWidth="1"/>
    <col min="3" max="3" width="67.140625" bestFit="1" customWidth="1"/>
    <col min="4" max="4" width="50.140625" bestFit="1" customWidth="1"/>
  </cols>
  <sheetData>
    <row r="1" spans="2:9" ht="18">
      <c r="B1" s="109" t="s">
        <v>168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167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169</v>
      </c>
      <c r="D7" s="42" t="s">
        <v>160</v>
      </c>
      <c r="E7" s="41"/>
      <c r="F7" s="41"/>
      <c r="G7" s="41"/>
      <c r="H7" s="41"/>
      <c r="I7" s="41"/>
    </row>
    <row r="8" spans="2:9" ht="25.5">
      <c r="B8" s="39" t="s">
        <v>7</v>
      </c>
      <c r="C8" s="42" t="s">
        <v>294</v>
      </c>
      <c r="D8" s="42" t="s">
        <v>292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I8"/>
  <sheetViews>
    <sheetView topLeftCell="A4" workbookViewId="0">
      <selection activeCell="C10" sqref="C10"/>
    </sheetView>
  </sheetViews>
  <sheetFormatPr defaultColWidth="15.140625" defaultRowHeight="12.75"/>
  <cols>
    <col min="1" max="1" width="4" customWidth="1"/>
    <col min="3" max="3" width="89.42578125" bestFit="1" customWidth="1"/>
    <col min="4" max="4" width="50.140625" bestFit="1" customWidth="1"/>
  </cols>
  <sheetData>
    <row r="1" spans="2:9" ht="18">
      <c r="B1" s="109" t="s">
        <v>171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172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173</v>
      </c>
      <c r="D7" s="42" t="s">
        <v>160</v>
      </c>
      <c r="E7" s="41"/>
      <c r="F7" s="41"/>
      <c r="G7" s="41"/>
      <c r="H7" s="41"/>
      <c r="I7" s="41"/>
    </row>
    <row r="8" spans="2:9" ht="25.5">
      <c r="B8" s="39" t="s">
        <v>7</v>
      </c>
      <c r="C8" s="42" t="s">
        <v>294</v>
      </c>
      <c r="D8" s="42" t="s">
        <v>292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I9"/>
  <sheetViews>
    <sheetView workbookViewId="0">
      <selection activeCell="C11" sqref="C11"/>
    </sheetView>
  </sheetViews>
  <sheetFormatPr defaultColWidth="15.140625" defaultRowHeight="12.75"/>
  <cols>
    <col min="1" max="1" width="4" customWidth="1"/>
    <col min="3" max="3" width="103.140625" customWidth="1"/>
    <col min="4" max="4" width="50.140625" bestFit="1" customWidth="1"/>
  </cols>
  <sheetData>
    <row r="1" spans="2:9" ht="18">
      <c r="B1" s="109" t="s">
        <v>174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175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176</v>
      </c>
      <c r="D7" s="42" t="s">
        <v>160</v>
      </c>
      <c r="E7" s="41"/>
      <c r="F7" s="41"/>
      <c r="G7" s="41"/>
      <c r="H7" s="41"/>
      <c r="I7" s="41"/>
    </row>
    <row r="8" spans="2:9" ht="25.5">
      <c r="B8" s="39" t="s">
        <v>7</v>
      </c>
      <c r="C8" s="42" t="s">
        <v>294</v>
      </c>
      <c r="D8" s="42" t="s">
        <v>292</v>
      </c>
    </row>
    <row r="9" spans="2:9">
      <c r="B9" s="80" t="s">
        <v>170</v>
      </c>
      <c r="C9" s="79" t="s">
        <v>177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C8" sqref="C8"/>
    </sheetView>
  </sheetViews>
  <sheetFormatPr defaultColWidth="15.140625" defaultRowHeight="12.75"/>
  <cols>
    <col min="1" max="1" width="4" customWidth="1"/>
    <col min="3" max="3" width="76.140625" bestFit="1" customWidth="1"/>
    <col min="4" max="4" width="50.140625" bestFit="1" customWidth="1"/>
  </cols>
  <sheetData>
    <row r="1" spans="2:9" ht="18">
      <c r="B1" s="109" t="s">
        <v>178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179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180</v>
      </c>
      <c r="D7" s="42" t="s">
        <v>160</v>
      </c>
      <c r="E7" s="41"/>
      <c r="F7" s="41"/>
      <c r="G7" s="41"/>
      <c r="H7" s="41"/>
      <c r="I7" s="41"/>
    </row>
    <row r="8" spans="2:9" ht="25.5">
      <c r="B8" s="39" t="s">
        <v>7</v>
      </c>
      <c r="C8" s="42" t="s">
        <v>294</v>
      </c>
      <c r="D8" s="42" t="s">
        <v>292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C12" sqref="C12"/>
    </sheetView>
  </sheetViews>
  <sheetFormatPr defaultColWidth="15.140625" defaultRowHeight="12.75"/>
  <cols>
    <col min="1" max="1" width="4" customWidth="1"/>
    <col min="3" max="3" width="76.140625" bestFit="1" customWidth="1"/>
    <col min="4" max="4" width="50.140625" bestFit="1" customWidth="1"/>
  </cols>
  <sheetData>
    <row r="1" spans="2:9" ht="18">
      <c r="B1" s="109" t="s">
        <v>181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182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183</v>
      </c>
      <c r="D7" s="42" t="s">
        <v>160</v>
      </c>
      <c r="E7" s="41"/>
      <c r="F7" s="41"/>
      <c r="G7" s="41"/>
      <c r="H7" s="41"/>
      <c r="I7" s="41"/>
    </row>
    <row r="8" spans="2:9" ht="25.5">
      <c r="B8" s="39" t="s">
        <v>7</v>
      </c>
      <c r="C8" s="42" t="s">
        <v>294</v>
      </c>
      <c r="D8" s="42" t="s">
        <v>292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C12" sqref="C12"/>
    </sheetView>
  </sheetViews>
  <sheetFormatPr defaultColWidth="15.140625" defaultRowHeight="12.75"/>
  <cols>
    <col min="1" max="1" width="4" customWidth="1"/>
    <col min="3" max="3" width="76.140625" bestFit="1" customWidth="1"/>
    <col min="4" max="4" width="50.140625" bestFit="1" customWidth="1"/>
  </cols>
  <sheetData>
    <row r="1" spans="2:9" ht="18">
      <c r="B1" s="109" t="s">
        <v>184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185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186</v>
      </c>
      <c r="D7" s="42" t="s">
        <v>160</v>
      </c>
      <c r="E7" s="41"/>
      <c r="F7" s="41"/>
      <c r="G7" s="41"/>
      <c r="H7" s="41"/>
      <c r="I7" s="41"/>
    </row>
    <row r="8" spans="2:9" ht="25.5">
      <c r="B8" s="39" t="s">
        <v>7</v>
      </c>
      <c r="C8" s="42" t="s">
        <v>294</v>
      </c>
      <c r="D8" s="42" t="s">
        <v>292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C12" sqref="C12"/>
    </sheetView>
  </sheetViews>
  <sheetFormatPr defaultColWidth="15.140625" defaultRowHeight="12.75"/>
  <cols>
    <col min="1" max="1" width="4" customWidth="1"/>
    <col min="3" max="3" width="85.28515625" customWidth="1"/>
    <col min="4" max="4" width="56.85546875" bestFit="1" customWidth="1"/>
  </cols>
  <sheetData>
    <row r="1" spans="2:9" ht="18">
      <c r="B1" s="109" t="s">
        <v>187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193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188</v>
      </c>
      <c r="D7" s="42" t="s">
        <v>160</v>
      </c>
      <c r="E7" s="41"/>
      <c r="F7" s="41"/>
      <c r="G7" s="41"/>
      <c r="H7" s="41"/>
      <c r="I7" s="41"/>
    </row>
    <row r="8" spans="2:9">
      <c r="B8" s="39" t="s">
        <v>7</v>
      </c>
      <c r="C8" s="42" t="s">
        <v>189</v>
      </c>
      <c r="D8" s="42" t="s">
        <v>190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B1:I7"/>
  <sheetViews>
    <sheetView workbookViewId="0">
      <selection activeCell="C12" sqref="C12"/>
    </sheetView>
  </sheetViews>
  <sheetFormatPr defaultColWidth="15.140625" defaultRowHeight="12.75"/>
  <cols>
    <col min="1" max="1" width="4" customWidth="1"/>
    <col min="3" max="3" width="44.5703125" bestFit="1" customWidth="1"/>
    <col min="4" max="4" width="56.85546875" bestFit="1" customWidth="1"/>
  </cols>
  <sheetData>
    <row r="1" spans="2:9" ht="18">
      <c r="B1" s="109" t="s">
        <v>191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192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194</v>
      </c>
      <c r="D7" s="42" t="s">
        <v>48</v>
      </c>
      <c r="E7" s="41"/>
      <c r="F7" s="41"/>
      <c r="G7" s="41"/>
      <c r="H7" s="41"/>
      <c r="I7" s="41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D13" sqref="D13"/>
    </sheetView>
  </sheetViews>
  <sheetFormatPr defaultColWidth="15.140625" defaultRowHeight="12.75"/>
  <cols>
    <col min="1" max="1" width="4" customWidth="1"/>
    <col min="3" max="3" width="47.5703125" bestFit="1" customWidth="1"/>
    <col min="4" max="4" width="53.42578125" bestFit="1" customWidth="1"/>
  </cols>
  <sheetData>
    <row r="1" spans="2:9" ht="18">
      <c r="B1" s="109" t="s">
        <v>195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196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194</v>
      </c>
      <c r="D7" s="42" t="s">
        <v>48</v>
      </c>
      <c r="E7" s="41"/>
      <c r="F7" s="41"/>
      <c r="G7" s="41"/>
      <c r="H7" s="41"/>
      <c r="I7" s="41"/>
    </row>
    <row r="8" spans="2:9">
      <c r="B8" s="39" t="s">
        <v>7</v>
      </c>
      <c r="C8" s="42" t="s">
        <v>197</v>
      </c>
      <c r="D8" s="42" t="s">
        <v>52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C15" sqref="C15"/>
    </sheetView>
  </sheetViews>
  <sheetFormatPr defaultColWidth="15.140625" defaultRowHeight="12.75"/>
  <cols>
    <col min="1" max="1" width="4" customWidth="1"/>
    <col min="3" max="3" width="47.5703125" bestFit="1" customWidth="1"/>
    <col min="4" max="4" width="53.42578125" bestFit="1" customWidth="1"/>
  </cols>
  <sheetData>
    <row r="1" spans="2:9" ht="18">
      <c r="B1" s="109" t="s">
        <v>198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199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194</v>
      </c>
      <c r="D7" s="42" t="s">
        <v>48</v>
      </c>
      <c r="E7" s="41"/>
      <c r="F7" s="41"/>
      <c r="G7" s="41"/>
      <c r="H7" s="41"/>
      <c r="I7" s="41"/>
    </row>
    <row r="8" spans="2:9">
      <c r="B8" s="39" t="s">
        <v>7</v>
      </c>
      <c r="C8" s="42" t="s">
        <v>200</v>
      </c>
      <c r="D8" s="42" t="s">
        <v>50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F18" sqref="F18"/>
    </sheetView>
  </sheetViews>
  <sheetFormatPr defaultColWidth="15.140625" defaultRowHeight="12.75"/>
  <cols>
    <col min="1" max="1" width="4" customWidth="1"/>
    <col min="3" max="3" width="47.5703125" bestFit="1" customWidth="1"/>
    <col min="4" max="4" width="53.42578125" bestFit="1" customWidth="1"/>
  </cols>
  <sheetData>
    <row r="1" spans="2:9" ht="18">
      <c r="B1" s="109" t="s">
        <v>201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202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203</v>
      </c>
      <c r="D7" s="42" t="s">
        <v>52</v>
      </c>
      <c r="E7" s="41"/>
      <c r="F7" s="41"/>
      <c r="G7" s="41"/>
      <c r="H7" s="41"/>
      <c r="I7" s="41"/>
    </row>
    <row r="8" spans="2:9">
      <c r="B8" s="39" t="s">
        <v>7</v>
      </c>
      <c r="C8" s="42" t="s">
        <v>200</v>
      </c>
      <c r="D8" s="42" t="s">
        <v>50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B1:I7"/>
  <sheetViews>
    <sheetView workbookViewId="0">
      <selection activeCell="F18" sqref="F18"/>
    </sheetView>
  </sheetViews>
  <sheetFormatPr defaultColWidth="15.140625" defaultRowHeight="12.75"/>
  <cols>
    <col min="1" max="1" width="4" customWidth="1"/>
    <col min="3" max="3" width="47.5703125" bestFit="1" customWidth="1"/>
    <col min="4" max="4" width="58.42578125" bestFit="1" customWidth="1"/>
  </cols>
  <sheetData>
    <row r="1" spans="2:9" ht="18">
      <c r="B1" s="109" t="s">
        <v>204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205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203</v>
      </c>
      <c r="D7" s="42" t="s">
        <v>49</v>
      </c>
      <c r="E7" s="41"/>
      <c r="F7" s="41"/>
      <c r="G7" s="41"/>
      <c r="H7" s="41"/>
      <c r="I7" s="41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B1:I7"/>
  <sheetViews>
    <sheetView workbookViewId="0">
      <selection activeCell="E15" sqref="E15"/>
    </sheetView>
  </sheetViews>
  <sheetFormatPr defaultColWidth="15.140625" defaultRowHeight="12.75"/>
  <cols>
    <col min="1" max="1" width="4" customWidth="1"/>
    <col min="3" max="3" width="47.5703125" bestFit="1" customWidth="1"/>
    <col min="4" max="4" width="58.42578125" bestFit="1" customWidth="1"/>
  </cols>
  <sheetData>
    <row r="1" spans="2:9" ht="18">
      <c r="B1" s="109" t="s">
        <v>206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207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203</v>
      </c>
      <c r="D7" s="42" t="s">
        <v>58</v>
      </c>
      <c r="E7" s="41"/>
      <c r="F7" s="41"/>
      <c r="G7" s="41"/>
      <c r="H7" s="41"/>
      <c r="I7" s="41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F17" sqref="F17"/>
    </sheetView>
  </sheetViews>
  <sheetFormatPr defaultColWidth="15.140625" defaultRowHeight="12.75"/>
  <cols>
    <col min="1" max="1" width="4" customWidth="1"/>
    <col min="3" max="3" width="47.5703125" bestFit="1" customWidth="1"/>
    <col min="4" max="4" width="58.42578125" bestFit="1" customWidth="1"/>
  </cols>
  <sheetData>
    <row r="1" spans="2:9" ht="18">
      <c r="B1" s="109" t="s">
        <v>210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208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203</v>
      </c>
      <c r="D7" s="42" t="s">
        <v>52</v>
      </c>
      <c r="E7" s="41"/>
      <c r="F7" s="41"/>
      <c r="G7" s="41"/>
      <c r="H7" s="41"/>
      <c r="I7" s="41"/>
    </row>
    <row r="8" spans="2:9">
      <c r="B8" s="39" t="s">
        <v>7</v>
      </c>
      <c r="C8" s="42" t="s">
        <v>209</v>
      </c>
      <c r="D8" s="42" t="s">
        <v>60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B1:I9"/>
  <sheetViews>
    <sheetView workbookViewId="0">
      <selection activeCell="D17" sqref="D17"/>
    </sheetView>
  </sheetViews>
  <sheetFormatPr defaultColWidth="15.140625" defaultRowHeight="12.75"/>
  <cols>
    <col min="1" max="1" width="4" customWidth="1"/>
    <col min="3" max="3" width="47.5703125" bestFit="1" customWidth="1"/>
    <col min="4" max="4" width="58.42578125" bestFit="1" customWidth="1"/>
  </cols>
  <sheetData>
    <row r="1" spans="2:9" ht="18">
      <c r="B1" s="109" t="s">
        <v>211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212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41"/>
      <c r="C5" s="41"/>
      <c r="D5" s="41"/>
      <c r="E5" s="41"/>
      <c r="F5" s="41"/>
      <c r="G5" s="41"/>
      <c r="H5" s="41"/>
      <c r="I5" s="41"/>
    </row>
    <row r="6" spans="2:9">
      <c r="B6" s="40" t="s">
        <v>5</v>
      </c>
      <c r="C6" s="40" t="s">
        <v>1</v>
      </c>
      <c r="D6" s="40" t="s">
        <v>10</v>
      </c>
      <c r="E6" s="41"/>
      <c r="F6" s="41"/>
      <c r="G6" s="41"/>
      <c r="H6" s="41"/>
      <c r="I6" s="41"/>
    </row>
    <row r="7" spans="2:9">
      <c r="B7" s="39" t="s">
        <v>6</v>
      </c>
      <c r="C7" s="42" t="s">
        <v>203</v>
      </c>
      <c r="D7" s="42" t="s">
        <v>52</v>
      </c>
      <c r="E7" s="41"/>
      <c r="F7" s="41"/>
      <c r="G7" s="41"/>
      <c r="H7" s="41"/>
      <c r="I7" s="41"/>
    </row>
    <row r="8" spans="2:9">
      <c r="B8" s="39" t="s">
        <v>7</v>
      </c>
      <c r="C8" s="42" t="s">
        <v>209</v>
      </c>
      <c r="D8" s="42" t="s">
        <v>60</v>
      </c>
    </row>
    <row r="9" spans="2:9">
      <c r="B9" s="39" t="s">
        <v>8</v>
      </c>
      <c r="C9" s="42" t="s">
        <v>213</v>
      </c>
      <c r="D9" s="42" t="s">
        <v>62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D16" sqref="D16"/>
    </sheetView>
  </sheetViews>
  <sheetFormatPr defaultColWidth="15.140625" defaultRowHeight="12.75"/>
  <cols>
    <col min="1" max="1" width="4" customWidth="1"/>
    <col min="3" max="3" width="47.5703125" bestFit="1" customWidth="1"/>
    <col min="4" max="4" width="58.42578125" bestFit="1" customWidth="1"/>
  </cols>
  <sheetData>
    <row r="1" spans="2:9" ht="18">
      <c r="B1" s="109" t="s">
        <v>214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215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203</v>
      </c>
      <c r="D7" s="42" t="s">
        <v>52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209</v>
      </c>
      <c r="D8" s="42" t="s">
        <v>64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B1:I9"/>
  <sheetViews>
    <sheetView workbookViewId="0">
      <selection activeCell="D17" sqref="D17"/>
    </sheetView>
  </sheetViews>
  <sheetFormatPr defaultColWidth="15.140625" defaultRowHeight="12.75"/>
  <cols>
    <col min="1" max="1" width="4" customWidth="1"/>
    <col min="3" max="3" width="50.7109375" customWidth="1"/>
    <col min="4" max="4" width="58.42578125" bestFit="1" customWidth="1"/>
  </cols>
  <sheetData>
    <row r="1" spans="2:9" ht="18">
      <c r="B1" s="109" t="s">
        <v>216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217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203</v>
      </c>
      <c r="D7" s="42" t="s">
        <v>52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209</v>
      </c>
      <c r="D8" s="42" t="s">
        <v>64</v>
      </c>
    </row>
    <row r="9" spans="2:9">
      <c r="B9" s="40" t="s">
        <v>218</v>
      </c>
      <c r="C9" s="42" t="s">
        <v>219</v>
      </c>
      <c r="D9" s="42" t="s">
        <v>220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B1:I9"/>
  <sheetViews>
    <sheetView workbookViewId="0">
      <selection activeCell="C13" sqref="C13"/>
    </sheetView>
  </sheetViews>
  <sheetFormatPr defaultColWidth="15.140625" defaultRowHeight="12.75"/>
  <cols>
    <col min="1" max="1" width="4" customWidth="1"/>
    <col min="3" max="3" width="54.140625" bestFit="1" customWidth="1"/>
    <col min="4" max="4" width="58.42578125" bestFit="1" customWidth="1"/>
  </cols>
  <sheetData>
    <row r="1" spans="2:9" ht="18">
      <c r="B1" s="109" t="s">
        <v>221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222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203</v>
      </c>
      <c r="D7" s="42" t="s">
        <v>52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209</v>
      </c>
      <c r="D8" s="42" t="s">
        <v>64</v>
      </c>
    </row>
    <row r="9" spans="2:9">
      <c r="B9" s="40" t="s">
        <v>218</v>
      </c>
      <c r="C9" s="42" t="s">
        <v>223</v>
      </c>
      <c r="D9" s="42" t="s">
        <v>70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B1:I10"/>
  <sheetViews>
    <sheetView workbookViewId="0">
      <selection activeCell="F18" sqref="F18:F19"/>
    </sheetView>
  </sheetViews>
  <sheetFormatPr defaultColWidth="15.140625" defaultRowHeight="12.75"/>
  <cols>
    <col min="1" max="1" width="4" customWidth="1"/>
    <col min="3" max="3" width="54.140625" bestFit="1" customWidth="1"/>
    <col min="4" max="4" width="62.28515625" bestFit="1" customWidth="1"/>
  </cols>
  <sheetData>
    <row r="1" spans="2:9" ht="18">
      <c r="B1" s="109" t="s">
        <v>224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225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203</v>
      </c>
      <c r="D7" s="42" t="s">
        <v>52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209</v>
      </c>
      <c r="D8" s="42" t="s">
        <v>64</v>
      </c>
    </row>
    <row r="9" spans="2:9">
      <c r="B9" s="40" t="s">
        <v>218</v>
      </c>
      <c r="C9" s="42" t="s">
        <v>223</v>
      </c>
      <c r="D9" s="42" t="s">
        <v>70</v>
      </c>
    </row>
    <row r="10" spans="2:9">
      <c r="B10" s="40" t="s">
        <v>9</v>
      </c>
      <c r="C10" s="42" t="s">
        <v>226</v>
      </c>
      <c r="D10" s="42" t="s">
        <v>69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B1:I10"/>
  <sheetViews>
    <sheetView topLeftCell="B1" zoomScaleSheetLayoutView="100" workbookViewId="0">
      <selection activeCell="C12" sqref="C12"/>
    </sheetView>
  </sheetViews>
  <sheetFormatPr defaultColWidth="15.140625" defaultRowHeight="12.75"/>
  <cols>
    <col min="1" max="1" width="4" customWidth="1"/>
    <col min="3" max="3" width="54.140625" bestFit="1" customWidth="1"/>
    <col min="4" max="4" width="62.28515625" bestFit="1" customWidth="1"/>
  </cols>
  <sheetData>
    <row r="1" spans="2:9" ht="18">
      <c r="B1" s="109" t="s">
        <v>227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228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203</v>
      </c>
      <c r="D7" s="42" t="s">
        <v>52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209</v>
      </c>
      <c r="D8" s="42" t="s">
        <v>64</v>
      </c>
    </row>
    <row r="9" spans="2:9" ht="25.5">
      <c r="B9" s="40" t="s">
        <v>218</v>
      </c>
      <c r="C9" s="42" t="s">
        <v>219</v>
      </c>
      <c r="D9" s="42" t="s">
        <v>295</v>
      </c>
    </row>
    <row r="10" spans="2:9">
      <c r="B10" s="40" t="s">
        <v>9</v>
      </c>
      <c r="C10" s="42" t="s">
        <v>229</v>
      </c>
      <c r="D10" s="42" t="s">
        <v>73</v>
      </c>
    </row>
  </sheetData>
  <mergeCells count="3">
    <mergeCell ref="B1:I1"/>
    <mergeCell ref="B2:I2"/>
    <mergeCell ref="B4:I4"/>
  </mergeCells>
  <pageMargins left="0.7" right="0.7" top="0.75" bottom="0.75" header="0.3" footer="0.3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E16" sqref="E16"/>
    </sheetView>
  </sheetViews>
  <sheetFormatPr defaultColWidth="15.140625" defaultRowHeight="12.75"/>
  <cols>
    <col min="1" max="1" width="4" customWidth="1"/>
    <col min="3" max="3" width="54.140625" bestFit="1" customWidth="1"/>
    <col min="4" max="4" width="62.28515625" bestFit="1" customWidth="1"/>
  </cols>
  <sheetData>
    <row r="1" spans="2:9" ht="18">
      <c r="B1" s="109" t="s">
        <v>230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231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40" t="s">
        <v>6</v>
      </c>
      <c r="C7" s="42" t="s">
        <v>232</v>
      </c>
      <c r="D7" s="42" t="s">
        <v>233</v>
      </c>
      <c r="E7" s="62"/>
      <c r="F7" s="62"/>
      <c r="G7" s="62"/>
      <c r="H7" s="62"/>
      <c r="I7" s="62"/>
    </row>
    <row r="8" spans="2:9">
      <c r="B8" s="40" t="s">
        <v>7</v>
      </c>
      <c r="C8" s="42" t="s">
        <v>234</v>
      </c>
      <c r="D8" s="42" t="s">
        <v>108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D16" sqref="D16"/>
    </sheetView>
  </sheetViews>
  <sheetFormatPr defaultColWidth="15.140625" defaultRowHeight="12.75"/>
  <cols>
    <col min="1" max="1" width="4" customWidth="1"/>
    <col min="3" max="3" width="57.28515625" bestFit="1" customWidth="1"/>
    <col min="4" max="4" width="62.28515625" bestFit="1" customWidth="1"/>
  </cols>
  <sheetData>
    <row r="1" spans="2:9" ht="18">
      <c r="B1" s="109" t="s">
        <v>235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236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40" t="s">
        <v>6</v>
      </c>
      <c r="C7" s="42" t="s">
        <v>232</v>
      </c>
      <c r="D7" s="42" t="s">
        <v>233</v>
      </c>
      <c r="E7" s="62"/>
      <c r="F7" s="62"/>
      <c r="G7" s="62"/>
      <c r="H7" s="62"/>
      <c r="I7" s="62"/>
    </row>
    <row r="8" spans="2:9">
      <c r="B8" s="40" t="s">
        <v>7</v>
      </c>
      <c r="C8" s="42" t="s">
        <v>237</v>
      </c>
      <c r="D8" s="42" t="s">
        <v>238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selection activeCell="D14" sqref="D14"/>
    </sheetView>
  </sheetViews>
  <sheetFormatPr defaultColWidth="15.140625" defaultRowHeight="12.75"/>
  <cols>
    <col min="1" max="1" width="4" customWidth="1"/>
    <col min="3" max="3" width="47.7109375" customWidth="1"/>
    <col min="4" max="4" width="56.85546875" bestFit="1" customWidth="1"/>
  </cols>
  <sheetData>
    <row r="1" spans="1:9" ht="18">
      <c r="A1" s="82"/>
      <c r="B1" s="109" t="s">
        <v>239</v>
      </c>
      <c r="C1" s="110"/>
      <c r="D1" s="110"/>
      <c r="E1" s="110"/>
      <c r="F1" s="110"/>
      <c r="G1" s="110"/>
      <c r="H1" s="110"/>
      <c r="I1" s="110"/>
    </row>
    <row r="2" spans="1:9" ht="18">
      <c r="B2" s="111" t="s">
        <v>240</v>
      </c>
      <c r="C2" s="110"/>
      <c r="D2" s="110"/>
      <c r="E2" s="110"/>
      <c r="F2" s="110"/>
      <c r="G2" s="110"/>
      <c r="H2" s="110"/>
      <c r="I2" s="110"/>
    </row>
    <row r="3" spans="1:9" ht="18">
      <c r="B3" s="35"/>
      <c r="C3" s="36"/>
      <c r="D3" s="36"/>
      <c r="E3" s="36"/>
      <c r="F3" s="36"/>
      <c r="G3" s="36"/>
      <c r="H3" s="36"/>
      <c r="I3" s="36"/>
    </row>
    <row r="4" spans="1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1:9">
      <c r="B5" s="62"/>
      <c r="C5" s="62"/>
      <c r="D5" s="62"/>
      <c r="E5" s="62"/>
      <c r="F5" s="62"/>
      <c r="G5" s="62"/>
      <c r="H5" s="62"/>
      <c r="I5" s="62"/>
    </row>
    <row r="6" spans="1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1:9">
      <c r="B7" s="40" t="s">
        <v>6</v>
      </c>
      <c r="C7" s="42" t="s">
        <v>241</v>
      </c>
      <c r="D7" s="42" t="s">
        <v>82</v>
      </c>
      <c r="E7" s="62"/>
      <c r="F7" s="62"/>
      <c r="G7" s="62"/>
      <c r="H7" s="62"/>
      <c r="I7" s="62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B1:I8"/>
  <sheetViews>
    <sheetView workbookViewId="0"/>
  </sheetViews>
  <sheetFormatPr defaultColWidth="15.140625" defaultRowHeight="12.75"/>
  <cols>
    <col min="1" max="1" width="4" customWidth="1"/>
    <col min="3" max="3" width="48.140625" bestFit="1" customWidth="1"/>
    <col min="4" max="4" width="54" bestFit="1" customWidth="1"/>
  </cols>
  <sheetData>
    <row r="1" spans="2:9" ht="18">
      <c r="B1" s="109" t="s">
        <v>242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243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241</v>
      </c>
      <c r="D7" s="42" t="s">
        <v>82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244</v>
      </c>
      <c r="D8" s="42" t="s">
        <v>84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D18" sqref="D18"/>
    </sheetView>
  </sheetViews>
  <sheetFormatPr defaultColWidth="15.140625" defaultRowHeight="12.75"/>
  <cols>
    <col min="1" max="1" width="4" customWidth="1"/>
    <col min="3" max="3" width="47.5703125" bestFit="1" customWidth="1"/>
    <col min="4" max="4" width="53.42578125" bestFit="1" customWidth="1"/>
  </cols>
  <sheetData>
    <row r="1" spans="2:9" ht="18">
      <c r="B1" s="109" t="s">
        <v>245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246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241</v>
      </c>
      <c r="D7" s="42" t="s">
        <v>82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247</v>
      </c>
      <c r="D8" s="42" t="s">
        <v>85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B1:I8"/>
  <sheetViews>
    <sheetView workbookViewId="0"/>
  </sheetViews>
  <sheetFormatPr defaultColWidth="15.140625" defaultRowHeight="12.75"/>
  <cols>
    <col min="1" max="1" width="4" customWidth="1"/>
    <col min="3" max="3" width="47.5703125" bestFit="1" customWidth="1"/>
    <col min="4" max="4" width="57" customWidth="1"/>
  </cols>
  <sheetData>
    <row r="1" spans="2:9" ht="18">
      <c r="B1" s="109" t="s">
        <v>248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249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250</v>
      </c>
      <c r="D7" s="42" t="s">
        <v>84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247</v>
      </c>
      <c r="D8" s="42" t="s">
        <v>85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B1:I7"/>
  <sheetViews>
    <sheetView workbookViewId="0">
      <selection activeCell="D17" sqref="D17"/>
    </sheetView>
  </sheetViews>
  <sheetFormatPr defaultColWidth="15.140625" defaultRowHeight="12.75"/>
  <cols>
    <col min="1" max="1" width="4" customWidth="1"/>
    <col min="3" max="3" width="47.5703125" bestFit="1" customWidth="1"/>
    <col min="4" max="4" width="58.42578125" bestFit="1" customWidth="1"/>
  </cols>
  <sheetData>
    <row r="1" spans="2:9" ht="18">
      <c r="B1" s="109" t="s">
        <v>251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253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40" t="s">
        <v>6</v>
      </c>
      <c r="C7" s="42" t="s">
        <v>250</v>
      </c>
      <c r="D7" s="42" t="s">
        <v>252</v>
      </c>
      <c r="E7" s="62"/>
      <c r="F7" s="62"/>
      <c r="G7" s="62"/>
      <c r="H7" s="62"/>
      <c r="I7" s="62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B1:I7"/>
  <sheetViews>
    <sheetView workbookViewId="0"/>
  </sheetViews>
  <sheetFormatPr defaultColWidth="15.140625" defaultRowHeight="12.75"/>
  <cols>
    <col min="1" max="1" width="4" customWidth="1"/>
    <col min="3" max="3" width="47.5703125" bestFit="1" customWidth="1"/>
    <col min="4" max="4" width="58.42578125" bestFit="1" customWidth="1"/>
  </cols>
  <sheetData>
    <row r="1" spans="2:9" ht="18">
      <c r="B1" s="109" t="s">
        <v>254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255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250</v>
      </c>
      <c r="D7" s="42" t="s">
        <v>256</v>
      </c>
      <c r="E7" s="62"/>
      <c r="F7" s="62"/>
      <c r="G7" s="62"/>
      <c r="H7" s="62"/>
      <c r="I7" s="62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B22" activeCellId="1" sqref="A1 B22"/>
    </sheetView>
  </sheetViews>
  <sheetFormatPr defaultColWidth="15.140625" defaultRowHeight="12.75"/>
  <cols>
    <col min="1" max="1" width="4" customWidth="1"/>
    <col min="3" max="3" width="47.5703125" bestFit="1" customWidth="1"/>
    <col min="4" max="4" width="58.42578125" bestFit="1" customWidth="1"/>
  </cols>
  <sheetData>
    <row r="1" spans="2:9" ht="18">
      <c r="B1" s="109" t="s">
        <v>257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258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250</v>
      </c>
      <c r="D7" s="42" t="s">
        <v>84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259</v>
      </c>
      <c r="D8" s="42" t="s">
        <v>87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B1:I9"/>
  <sheetViews>
    <sheetView workbookViewId="0"/>
  </sheetViews>
  <sheetFormatPr defaultColWidth="15.140625" defaultRowHeight="12.75"/>
  <cols>
    <col min="1" max="1" width="4" customWidth="1"/>
    <col min="3" max="3" width="47.5703125" bestFit="1" customWidth="1"/>
    <col min="4" max="4" width="58.42578125" bestFit="1" customWidth="1"/>
  </cols>
  <sheetData>
    <row r="1" spans="2:9" ht="18">
      <c r="B1" s="109" t="s">
        <v>260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261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250</v>
      </c>
      <c r="D7" s="42" t="s">
        <v>84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259</v>
      </c>
      <c r="D8" s="42" t="s">
        <v>87</v>
      </c>
    </row>
    <row r="9" spans="2:9">
      <c r="B9" s="39" t="s">
        <v>8</v>
      </c>
      <c r="C9" s="42" t="s">
        <v>262</v>
      </c>
      <c r="D9" s="42" t="s">
        <v>88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B1:I8"/>
  <sheetViews>
    <sheetView workbookViewId="0"/>
  </sheetViews>
  <sheetFormatPr defaultColWidth="15.140625" defaultRowHeight="12.75"/>
  <cols>
    <col min="1" max="1" width="4" customWidth="1"/>
    <col min="3" max="3" width="47.5703125" bestFit="1" customWidth="1"/>
    <col min="4" max="4" width="58.42578125" bestFit="1" customWidth="1"/>
  </cols>
  <sheetData>
    <row r="1" spans="2:9" ht="18">
      <c r="B1" s="109" t="s">
        <v>263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264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250</v>
      </c>
      <c r="D7" s="42" t="s">
        <v>84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259</v>
      </c>
      <c r="D8" s="42" t="s">
        <v>89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B1:I9"/>
  <sheetViews>
    <sheetView workbookViewId="0"/>
  </sheetViews>
  <sheetFormatPr defaultColWidth="15.140625" defaultRowHeight="12.75"/>
  <cols>
    <col min="1" max="1" width="4" customWidth="1"/>
    <col min="3" max="3" width="50.7109375" customWidth="1"/>
    <col min="4" max="4" width="58.42578125" bestFit="1" customWidth="1"/>
  </cols>
  <sheetData>
    <row r="1" spans="2:9" ht="18">
      <c r="B1" s="109" t="s">
        <v>265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266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250</v>
      </c>
      <c r="D7" s="42" t="s">
        <v>84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259</v>
      </c>
      <c r="D8" s="42" t="s">
        <v>89</v>
      </c>
    </row>
    <row r="9" spans="2:9">
      <c r="B9" s="40" t="s">
        <v>218</v>
      </c>
      <c r="C9" s="42" t="s">
        <v>219</v>
      </c>
      <c r="D9" s="42" t="s">
        <v>267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B1:I9"/>
  <sheetViews>
    <sheetView workbookViewId="0"/>
  </sheetViews>
  <sheetFormatPr defaultColWidth="15.140625" defaultRowHeight="12.75"/>
  <cols>
    <col min="1" max="1" width="4" customWidth="1"/>
    <col min="3" max="3" width="54.140625" bestFit="1" customWidth="1"/>
    <col min="4" max="4" width="58.42578125" bestFit="1" customWidth="1"/>
  </cols>
  <sheetData>
    <row r="1" spans="2:9" ht="18">
      <c r="B1" s="109" t="s">
        <v>268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269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250</v>
      </c>
      <c r="D7" s="42" t="s">
        <v>84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259</v>
      </c>
      <c r="D8" s="42" t="s">
        <v>89</v>
      </c>
    </row>
    <row r="9" spans="2:9">
      <c r="B9" s="40" t="s">
        <v>218</v>
      </c>
      <c r="C9" s="42" t="s">
        <v>223</v>
      </c>
      <c r="D9" s="42" t="s">
        <v>91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B1:I10"/>
  <sheetViews>
    <sheetView workbookViewId="0"/>
  </sheetViews>
  <sheetFormatPr defaultColWidth="15.140625" defaultRowHeight="12.75"/>
  <cols>
    <col min="1" max="1" width="4" customWidth="1"/>
    <col min="3" max="3" width="54.140625" bestFit="1" customWidth="1"/>
    <col min="4" max="4" width="63.85546875" customWidth="1"/>
  </cols>
  <sheetData>
    <row r="1" spans="2:9" ht="18">
      <c r="B1" s="109" t="s">
        <v>270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271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250</v>
      </c>
      <c r="D7" s="42" t="s">
        <v>84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259</v>
      </c>
      <c r="D8" s="42" t="s">
        <v>89</v>
      </c>
    </row>
    <row r="9" spans="2:9">
      <c r="B9" s="40" t="s">
        <v>218</v>
      </c>
      <c r="C9" s="42" t="s">
        <v>223</v>
      </c>
      <c r="D9" s="42" t="s">
        <v>91</v>
      </c>
    </row>
    <row r="10" spans="2:9">
      <c r="B10" s="40" t="s">
        <v>9</v>
      </c>
      <c r="C10" s="42" t="s">
        <v>226</v>
      </c>
      <c r="D10" s="42" t="s">
        <v>92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B1:I10"/>
  <sheetViews>
    <sheetView workbookViewId="0"/>
  </sheetViews>
  <sheetFormatPr defaultColWidth="15.140625" defaultRowHeight="12.75"/>
  <cols>
    <col min="1" max="1" width="4" customWidth="1"/>
    <col min="3" max="3" width="54.140625" bestFit="1" customWidth="1"/>
    <col min="4" max="4" width="62.28515625" bestFit="1" customWidth="1"/>
  </cols>
  <sheetData>
    <row r="1" spans="2:9" ht="18">
      <c r="B1" s="109" t="s">
        <v>272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273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39" t="s">
        <v>6</v>
      </c>
      <c r="C7" s="42" t="s">
        <v>250</v>
      </c>
      <c r="D7" s="42" t="s">
        <v>84</v>
      </c>
      <c r="E7" s="62"/>
      <c r="F7" s="62"/>
      <c r="G7" s="62"/>
      <c r="H7" s="62"/>
      <c r="I7" s="62"/>
    </row>
    <row r="8" spans="2:9">
      <c r="B8" s="39" t="s">
        <v>7</v>
      </c>
      <c r="C8" s="42" t="s">
        <v>259</v>
      </c>
      <c r="D8" s="42" t="s">
        <v>89</v>
      </c>
    </row>
    <row r="9" spans="2:9">
      <c r="B9" s="40" t="s">
        <v>218</v>
      </c>
      <c r="C9" s="42" t="s">
        <v>219</v>
      </c>
      <c r="D9" s="42" t="s">
        <v>90</v>
      </c>
    </row>
    <row r="10" spans="2:9">
      <c r="B10" s="40" t="s">
        <v>9</v>
      </c>
      <c r="C10" s="42" t="s">
        <v>229</v>
      </c>
      <c r="D10" s="42" t="s">
        <v>93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B1:I7"/>
  <sheetViews>
    <sheetView workbookViewId="0"/>
  </sheetViews>
  <sheetFormatPr defaultColWidth="15.140625" defaultRowHeight="12.75"/>
  <cols>
    <col min="1" max="1" width="4" customWidth="1"/>
    <col min="3" max="3" width="54.140625" bestFit="1" customWidth="1"/>
    <col min="4" max="4" width="62.28515625" bestFit="1" customWidth="1"/>
  </cols>
  <sheetData>
    <row r="1" spans="2:9" ht="18">
      <c r="B1" s="109" t="s">
        <v>278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279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40" t="s">
        <v>6</v>
      </c>
      <c r="C7" s="42" t="s">
        <v>280</v>
      </c>
      <c r="D7" s="42" t="s">
        <v>105</v>
      </c>
      <c r="E7" s="62"/>
      <c r="F7" s="62"/>
      <c r="G7" s="62"/>
      <c r="H7" s="62"/>
      <c r="I7" s="62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B1:I7"/>
  <sheetViews>
    <sheetView workbookViewId="0"/>
  </sheetViews>
  <sheetFormatPr defaultColWidth="15.140625" defaultRowHeight="12.75"/>
  <cols>
    <col min="1" max="1" width="4" customWidth="1"/>
    <col min="3" max="3" width="54.140625" bestFit="1" customWidth="1"/>
    <col min="4" max="4" width="62.28515625" bestFit="1" customWidth="1"/>
  </cols>
  <sheetData>
    <row r="1" spans="2:9" ht="18">
      <c r="B1" s="109" t="s">
        <v>281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282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40" t="s">
        <v>6</v>
      </c>
      <c r="C7" s="42" t="s">
        <v>283</v>
      </c>
      <c r="D7" s="42" t="s">
        <v>106</v>
      </c>
      <c r="E7" s="62"/>
      <c r="F7" s="62"/>
      <c r="G7" s="62"/>
      <c r="H7" s="62"/>
      <c r="I7" s="62"/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B1:I8"/>
  <sheetViews>
    <sheetView workbookViewId="0"/>
  </sheetViews>
  <sheetFormatPr defaultColWidth="15.140625" defaultRowHeight="12.75"/>
  <cols>
    <col min="1" max="1" width="4" customWidth="1"/>
    <col min="3" max="3" width="54.140625" bestFit="1" customWidth="1"/>
    <col min="4" max="4" width="62.28515625" bestFit="1" customWidth="1"/>
  </cols>
  <sheetData>
    <row r="1" spans="2:9" ht="18">
      <c r="B1" s="109" t="s">
        <v>284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285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40" t="s">
        <v>6</v>
      </c>
      <c r="C7" s="42" t="s">
        <v>286</v>
      </c>
      <c r="D7" s="42" t="s">
        <v>233</v>
      </c>
      <c r="E7" s="62"/>
      <c r="F7" s="62"/>
      <c r="G7" s="62"/>
      <c r="H7" s="62"/>
      <c r="I7" s="62"/>
    </row>
    <row r="8" spans="2:9">
      <c r="B8" s="40" t="s">
        <v>7</v>
      </c>
      <c r="C8" s="42" t="s">
        <v>287</v>
      </c>
      <c r="D8" s="42" t="s">
        <v>288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B1:I8"/>
  <sheetViews>
    <sheetView workbookViewId="0">
      <selection activeCell="E15" sqref="E15"/>
    </sheetView>
  </sheetViews>
  <sheetFormatPr defaultColWidth="15.140625" defaultRowHeight="12.75"/>
  <cols>
    <col min="1" max="1" width="4" customWidth="1"/>
    <col min="3" max="3" width="59.140625" customWidth="1"/>
    <col min="4" max="4" width="41.5703125" bestFit="1" customWidth="1"/>
  </cols>
  <sheetData>
    <row r="1" spans="2:9" ht="18">
      <c r="B1" s="109" t="s">
        <v>289</v>
      </c>
      <c r="C1" s="110"/>
      <c r="D1" s="110"/>
      <c r="E1" s="110"/>
      <c r="F1" s="110"/>
      <c r="G1" s="110"/>
      <c r="H1" s="110"/>
      <c r="I1" s="110"/>
    </row>
    <row r="2" spans="2:9" ht="18">
      <c r="B2" s="111" t="s">
        <v>236</v>
      </c>
      <c r="C2" s="110"/>
      <c r="D2" s="110"/>
      <c r="E2" s="110"/>
      <c r="F2" s="110"/>
      <c r="G2" s="110"/>
      <c r="H2" s="110"/>
      <c r="I2" s="110"/>
    </row>
    <row r="3" spans="2:9" ht="18">
      <c r="B3" s="35"/>
      <c r="C3" s="36"/>
      <c r="D3" s="36"/>
      <c r="E3" s="36"/>
      <c r="F3" s="36"/>
      <c r="G3" s="36"/>
      <c r="H3" s="36"/>
      <c r="I3" s="36"/>
    </row>
    <row r="4" spans="2:9" ht="18">
      <c r="B4" s="112" t="s">
        <v>5</v>
      </c>
      <c r="C4" s="113"/>
      <c r="D4" s="113"/>
      <c r="E4" s="113"/>
      <c r="F4" s="113"/>
      <c r="G4" s="113"/>
      <c r="H4" s="113"/>
      <c r="I4" s="114"/>
    </row>
    <row r="5" spans="2:9">
      <c r="B5" s="62"/>
      <c r="C5" s="62"/>
      <c r="D5" s="62"/>
      <c r="E5" s="62"/>
      <c r="F5" s="62"/>
      <c r="G5" s="62"/>
      <c r="H5" s="62"/>
      <c r="I5" s="62"/>
    </row>
    <row r="6" spans="2:9">
      <c r="B6" s="40" t="s">
        <v>5</v>
      </c>
      <c r="C6" s="40" t="s">
        <v>1</v>
      </c>
      <c r="D6" s="40" t="s">
        <v>10</v>
      </c>
      <c r="E6" s="62"/>
      <c r="F6" s="62"/>
      <c r="G6" s="62"/>
      <c r="H6" s="62"/>
      <c r="I6" s="62"/>
    </row>
    <row r="7" spans="2:9">
      <c r="B7" s="40" t="s">
        <v>6</v>
      </c>
      <c r="C7" s="42" t="s">
        <v>286</v>
      </c>
      <c r="D7" s="42" t="s">
        <v>233</v>
      </c>
      <c r="E7" s="62"/>
      <c r="F7" s="62"/>
      <c r="G7" s="62"/>
      <c r="H7" s="62"/>
      <c r="I7" s="62"/>
    </row>
    <row r="8" spans="2:9">
      <c r="B8" s="40" t="s">
        <v>7</v>
      </c>
      <c r="C8" s="42" t="s">
        <v>290</v>
      </c>
      <c r="D8" s="42" t="s">
        <v>291</v>
      </c>
    </row>
  </sheetData>
  <mergeCells count="3">
    <mergeCell ref="B1:I1"/>
    <mergeCell ref="B2:I2"/>
    <mergeCell ref="B4:I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zoomScale="85" zoomScaleNormal="85" workbookViewId="0"/>
  </sheetViews>
  <sheetFormatPr defaultColWidth="9.140625" defaultRowHeight="12.75"/>
  <cols>
    <col min="1" max="1" width="137.28515625" style="37" customWidth="1"/>
    <col min="2" max="16384" width="9.140625" style="37"/>
  </cols>
  <sheetData>
    <row r="1" spans="1:1" ht="280.5">
      <c r="A1" s="38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CBC18B9834514896B0DC08ACBDCB98" ma:contentTypeVersion="10" ma:contentTypeDescription="Crée un document." ma:contentTypeScope="" ma:versionID="b9073a913c0433dfa87de3a408dee361">
  <xsd:schema xmlns:xsd="http://www.w3.org/2001/XMLSchema" xmlns:xs="http://www.w3.org/2001/XMLSchema" xmlns:p="http://schemas.microsoft.com/office/2006/metadata/properties" xmlns:ns2="ee8d298f-9f7f-41d5-854b-6eab0fb66755" xmlns:ns3="dd7fd161-dd49-4069-9f4a-8422fa1e76c7" targetNamespace="http://schemas.microsoft.com/office/2006/metadata/properties" ma:root="true" ma:fieldsID="d04bb55933f5d16fabf0d94f5a687e5c" ns2:_="" ns3:_="">
    <xsd:import namespace="ee8d298f-9f7f-41d5-854b-6eab0fb66755"/>
    <xsd:import namespace="dd7fd161-dd49-4069-9f4a-8422fa1e76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d298f-9f7f-41d5-854b-6eab0fb66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697633db-1662-44e2-9be0-9673860e25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7fd161-dd49-4069-9f4a-8422fa1e76c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10e4847-a223-46b4-a9fa-c284d9ccadb7}" ma:internalName="TaxCatchAll" ma:showField="CatchAllData" ma:web="dd7fd161-dd49-4069-9f4a-8422fa1e76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7fd161-dd49-4069-9f4a-8422fa1e76c7" xsi:nil="true"/>
    <lcf76f155ced4ddcb4097134ff3c332f xmlns="ee8d298f-9f7f-41d5-854b-6eab0fb667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FB05E4-E439-4EA6-8711-FCBB599B6BC3}"/>
</file>

<file path=customXml/itemProps2.xml><?xml version="1.0" encoding="utf-8"?>
<ds:datastoreItem xmlns:ds="http://schemas.openxmlformats.org/officeDocument/2006/customXml" ds:itemID="{124F1E2C-CEA1-4820-85EB-DE97EE9E6002}"/>
</file>

<file path=customXml/itemProps3.xml><?xml version="1.0" encoding="utf-8"?>
<ds:datastoreItem xmlns:ds="http://schemas.openxmlformats.org/officeDocument/2006/customXml" ds:itemID="{5BF1AC7F-67D7-4FE2-9A42-B0227126FF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44</vt:i4>
      </vt:variant>
      <vt:variant>
        <vt:lpstr>Named Ranges</vt:lpstr>
      </vt:variant>
      <vt:variant>
        <vt:i4>1</vt:i4>
      </vt:variant>
    </vt:vector>
  </HeadingPairs>
  <TitlesOfParts>
    <vt:vector size="45" baseType="lpstr">
      <vt:lpstr>Statistique</vt:lpstr>
      <vt:lpstr>RDG_OB_DV</vt:lpstr>
      <vt:lpstr>RDG_OB_DR</vt:lpstr>
      <vt:lpstr>RDG_OB_DO</vt:lpstr>
      <vt:lpstr>RDG_OB_CT_1</vt:lpstr>
      <vt:lpstr>RDG_OB_CE_2</vt:lpstr>
      <vt:lpstr>RDG_OB_RC</vt:lpstr>
      <vt:lpstr>RDG_OB_Q_1</vt:lpstr>
      <vt:lpstr>RDG_OB_Q_2</vt:lpstr>
      <vt:lpstr>RDG_OB_SB</vt:lpstr>
      <vt:lpstr>RDG_OB_P</vt:lpstr>
      <vt:lpstr>POB_A_1</vt:lpstr>
      <vt:lpstr>POB_A_2</vt:lpstr>
      <vt:lpstr>POB_A_3</vt:lpstr>
      <vt:lpstr>POB_A_4</vt:lpstr>
      <vt:lpstr>POB_A_5</vt:lpstr>
      <vt:lpstr>POB_A_6</vt:lpstr>
      <vt:lpstr>POB_A_7</vt:lpstr>
      <vt:lpstr>POB_A_8</vt:lpstr>
      <vt:lpstr>POB_A_9</vt:lpstr>
      <vt:lpstr>POB_A_10</vt:lpstr>
      <vt:lpstr>POB_A_11</vt:lpstr>
      <vt:lpstr>POB_A_12</vt:lpstr>
      <vt:lpstr>POB_A_13</vt:lpstr>
      <vt:lpstr>POB_EXEC_A_3</vt:lpstr>
      <vt:lpstr>POB_EXEC_A_4</vt:lpstr>
      <vt:lpstr>POB_V_1</vt:lpstr>
      <vt:lpstr>POB_V_2</vt:lpstr>
      <vt:lpstr>POB_V_3</vt:lpstr>
      <vt:lpstr>POB_V_4</vt:lpstr>
      <vt:lpstr>POB_V_5</vt:lpstr>
      <vt:lpstr>POB_V_6</vt:lpstr>
      <vt:lpstr>POB_V_7</vt:lpstr>
      <vt:lpstr>POB_V_8</vt:lpstr>
      <vt:lpstr>POB_V_9</vt:lpstr>
      <vt:lpstr>POB_V_10</vt:lpstr>
      <vt:lpstr>POB_V_11</vt:lpstr>
      <vt:lpstr>POB_V_12</vt:lpstr>
      <vt:lpstr>POB_V_13</vt:lpstr>
      <vt:lpstr>POB_EXEC_V_1</vt:lpstr>
      <vt:lpstr>POB_EXEC_V_2</vt:lpstr>
      <vt:lpstr>POB_EXEC_V_3</vt:lpstr>
      <vt:lpstr>POB_EXEC_V_4</vt:lpstr>
      <vt:lpstr>Définitions</vt:lpstr>
      <vt:lpstr>POB_A_13!Print_Area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modified xsi:type="dcterms:W3CDTF">2015-04-08T16:44:21Z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0x010100D9CBC18B9834514896B0DC08ACBDCB98</vt:lpwstr>
  </property>
</Properties>
</file>