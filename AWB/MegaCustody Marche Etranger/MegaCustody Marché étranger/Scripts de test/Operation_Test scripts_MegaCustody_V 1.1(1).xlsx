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53.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1.xml" ContentType="application/vnd.openxmlformats-officedocument.spreadsheetml.worksheet+xml"/>
  <Override PartName="/xl/worksheets/sheet33.xml" ContentType="application/vnd.openxmlformats-officedocument.spreadsheetml.worksheet+xml"/>
  <Override PartName="/xl/worksheets/sheet3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32.xml" ContentType="application/vnd.openxmlformats-officedocument.spreadsheetml.worksheet+xml"/>
  <Override PartName="/xl/worksheets/sheet17.xml" ContentType="application/vnd.openxmlformats-officedocument.spreadsheetml.worksheet+xml"/>
  <Override PartName="/xl/worksheets/sheet19.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4.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6380" windowHeight="8190" tabRatio="943"/>
  </bookViews>
  <sheets>
    <sheet name="Statistique" sheetId="1" r:id="rId1"/>
    <sheet name="RDG_IRL_DN" sheetId="2" r:id="rId2"/>
    <sheet name="RDG_IRL_DD" sheetId="3" r:id="rId3"/>
    <sheet name="RDG_IRL_CT_1" sheetId="4" r:id="rId4"/>
    <sheet name="RDG_IRL_CT_2" sheetId="5" r:id="rId5"/>
    <sheet name="RDG_IRL_CE_1" sheetId="6" r:id="rId6"/>
    <sheet name="RDG_IRL_CE_2" sheetId="7" r:id="rId7"/>
    <sheet name="RDG_IRL_CE_3" sheetId="8" r:id="rId8"/>
    <sheet name="RDG_IRL_ASC" sheetId="9" r:id="rId9"/>
    <sheet name="RDG_IRL_T" sheetId="10" r:id="rId10"/>
    <sheet name="RDG_IRL_RC" sheetId="11" r:id="rId11"/>
    <sheet name="RDG_IRL_Q_1" sheetId="12" r:id="rId12"/>
    <sheet name="RDG_IRL_Q_2" sheetId="13" r:id="rId13"/>
    <sheet name="RDG_IRL_C" sheetId="14" r:id="rId14"/>
    <sheet name="RDG_IRL_D" sheetId="15" r:id="rId15"/>
    <sheet name="RDG_IRL_CDD" sheetId="16" r:id="rId16"/>
    <sheet name="RDG_IRL_PDD" sheetId="17" r:id="rId17"/>
    <sheet name="RDG_IRL_MDD" sheetId="18" r:id="rId18"/>
    <sheet name="IRL_RF_1" sheetId="19" r:id="rId19"/>
    <sheet name="IRL_RF_2" sheetId="20" r:id="rId20"/>
    <sheet name="IRL_RVP_3" sheetId="21" r:id="rId21"/>
    <sheet name="IRL_RVP_4" sheetId="22" r:id="rId22"/>
    <sheet name="IRL_RVF_5" sheetId="23" r:id="rId23"/>
    <sheet name="IRL_RVF_6" sheetId="24" r:id="rId24"/>
    <sheet name="IRL_RVF_7" sheetId="25" r:id="rId25"/>
    <sheet name="IRL_RVF_8" sheetId="26" r:id="rId26"/>
    <sheet name="IRL_RVF_9" sheetId="27" r:id="rId27"/>
    <sheet name="IRL_RVF_10" sheetId="28" r:id="rId28"/>
    <sheet name="IRL_DF_5" sheetId="29" r:id="rId29"/>
    <sheet name="IRL_DF_6" sheetId="30" r:id="rId30"/>
    <sheet name="IRL_DVP_7" sheetId="31" r:id="rId31"/>
    <sheet name="IRL_DVP_8" sheetId="32" r:id="rId32"/>
    <sheet name="IRL_DVP_9" sheetId="33" r:id="rId33"/>
    <sheet name="IRL_DVP_10" sheetId="34" r:id="rId34"/>
    <sheet name="IRL_DVP_11" sheetId="35" r:id="rId35"/>
    <sheet name="IRL_DVP_12" sheetId="36" r:id="rId36"/>
    <sheet name="PRL_1_Transfert cross border" sheetId="37" r:id="rId37"/>
    <sheet name="PRL_2_Transfert cross border_Eu" sheetId="38" r:id="rId38"/>
    <sheet name="PRL_2_Transfert cross border_BP" sheetId="39" r:id="rId39"/>
    <sheet name="PRL_3_Transfert cross border" sheetId="40" r:id="rId40"/>
    <sheet name="PRL_REPO_RDG_1" sheetId="41" r:id="rId41"/>
    <sheet name="PRL_REPO_RDG_2" sheetId="42" r:id="rId42"/>
    <sheet name="PRL_REPO_RDG_3" sheetId="43" r:id="rId43"/>
    <sheet name="PRL_REPO_1_IRL REPO" sheetId="44" r:id="rId44"/>
    <sheet name="PRL_REPO_1_IRL RVPO" sheetId="45" r:id="rId45"/>
    <sheet name="Transfert transferts OPCVM via " sheetId="46" r:id="rId46"/>
    <sheet name="Recovered_Sheet1" sheetId="47" r:id="rId47"/>
    <sheet name="Tranfert interne 1" sheetId="48" r:id="rId48"/>
    <sheet name="Tranfert interne 2" sheetId="49" r:id="rId49"/>
    <sheet name="Transfer externe " sheetId="50" r:id="rId50"/>
    <sheet name="nantissement " sheetId="51" r:id="rId51"/>
    <sheet name="prêt_emprunt" sheetId="52" r:id="rId52"/>
    <sheet name="Définitions" sheetId="53" r:id="rId53"/>
  </sheets>
  <calcPr calcId="124519"/>
  <fileRecoveryPr repairLoad="1"/>
</workbook>
</file>

<file path=xl/calcChain.xml><?xml version="1.0" encoding="utf-8"?>
<calcChain xmlns="http://schemas.openxmlformats.org/spreadsheetml/2006/main">
  <c r="O60" i="1"/>
  <c r="L60"/>
  <c r="I60"/>
  <c r="O59"/>
  <c r="L59"/>
  <c r="I59"/>
  <c r="O57"/>
  <c r="L57"/>
  <c r="I57"/>
  <c r="I56"/>
  <c r="O55"/>
  <c r="L55"/>
  <c r="I55"/>
  <c r="I54"/>
  <c r="O53"/>
  <c r="L53"/>
  <c r="I53"/>
  <c r="O51"/>
  <c r="L51"/>
  <c r="I51"/>
  <c r="O50"/>
  <c r="L50"/>
  <c r="I50"/>
  <c r="O49"/>
  <c r="L49"/>
  <c r="I49"/>
  <c r="O48"/>
  <c r="L48"/>
  <c r="I48"/>
  <c r="O47"/>
  <c r="L47"/>
  <c r="I47"/>
  <c r="O45"/>
  <c r="I45"/>
  <c r="O44"/>
  <c r="I44"/>
  <c r="O43"/>
  <c r="L43"/>
  <c r="I43"/>
  <c r="O42"/>
  <c r="L42"/>
  <c r="I42"/>
  <c r="O40"/>
  <c r="L40"/>
  <c r="I40"/>
  <c r="O39"/>
  <c r="L39"/>
  <c r="I39"/>
  <c r="O38"/>
  <c r="L38"/>
  <c r="I38"/>
  <c r="O37"/>
  <c r="L37"/>
  <c r="I37"/>
  <c r="O36"/>
  <c r="L36"/>
  <c r="I36"/>
  <c r="O35"/>
  <c r="L35"/>
  <c r="I35"/>
  <c r="O34"/>
  <c r="L34"/>
  <c r="I34"/>
  <c r="O33"/>
  <c r="L33"/>
  <c r="I33"/>
  <c r="O31"/>
  <c r="L31"/>
  <c r="I31"/>
  <c r="O30"/>
  <c r="L30"/>
  <c r="I30"/>
  <c r="O29"/>
  <c r="L29"/>
  <c r="I29"/>
  <c r="O28"/>
  <c r="L28"/>
  <c r="I28"/>
  <c r="O27"/>
  <c r="L27"/>
  <c r="I27"/>
  <c r="O26"/>
  <c r="L26"/>
  <c r="I26"/>
  <c r="O25"/>
  <c r="L25"/>
  <c r="I25"/>
  <c r="O24"/>
  <c r="L24"/>
  <c r="I24"/>
  <c r="O23"/>
  <c r="L23"/>
  <c r="I23"/>
  <c r="O22"/>
  <c r="L22"/>
  <c r="I22"/>
  <c r="O20"/>
  <c r="L20"/>
  <c r="I20"/>
  <c r="O19"/>
  <c r="L19"/>
  <c r="I19"/>
  <c r="O18"/>
  <c r="L18"/>
  <c r="I18"/>
  <c r="O17"/>
  <c r="L17"/>
  <c r="I17"/>
  <c r="O16"/>
  <c r="L16"/>
  <c r="I16"/>
  <c r="O15"/>
  <c r="L15"/>
  <c r="I15"/>
  <c r="O14"/>
  <c r="L14"/>
  <c r="I14"/>
  <c r="O13"/>
  <c r="L13"/>
  <c r="I13"/>
  <c r="O12"/>
  <c r="L12"/>
  <c r="I12"/>
  <c r="O11"/>
  <c r="L11"/>
  <c r="I11"/>
  <c r="O10"/>
  <c r="L10"/>
  <c r="I10"/>
  <c r="O9"/>
  <c r="L9"/>
  <c r="I9"/>
  <c r="O8"/>
  <c r="L8"/>
  <c r="I8"/>
  <c r="O7"/>
  <c r="L7"/>
  <c r="I7"/>
  <c r="O6"/>
  <c r="L6"/>
  <c r="I6"/>
  <c r="O5"/>
  <c r="L5"/>
  <c r="I5"/>
  <c r="O4"/>
  <c r="O62" s="1"/>
  <c r="L4"/>
  <c r="L62" s="1"/>
  <c r="I4"/>
  <c r="I62" s="1"/>
</calcChain>
</file>

<file path=xl/sharedStrings.xml><?xml version="1.0" encoding="utf-8"?>
<sst xmlns="http://schemas.openxmlformats.org/spreadsheetml/2006/main" count="1021" uniqueCount="432">
  <si>
    <t>N°</t>
  </si>
  <si>
    <t>Nom du Feuille Excel</t>
  </si>
  <si>
    <t>Scénario</t>
  </si>
  <si>
    <t>Description</t>
  </si>
  <si>
    <t>Domaine du Scénario</t>
  </si>
  <si>
    <t>Pourcentage  par Domaine</t>
  </si>
  <si>
    <t>Pourcentage par Scénario</t>
  </si>
  <si>
    <t>Lot</t>
  </si>
  <si>
    <t>Documentation du Scénario %</t>
  </si>
  <si>
    <t>Première Exécution du scénario %</t>
  </si>
  <si>
    <t>Responsible Exécution 1</t>
  </si>
  <si>
    <t>Avancement de l'Exécution   1</t>
  </si>
  <si>
    <t>Deuxième Exécution du scénario %</t>
  </si>
  <si>
    <t>Responsible Exécution 2</t>
  </si>
  <si>
    <t>Avancement de l'Exécution   2</t>
  </si>
  <si>
    <t>Commentaire</t>
  </si>
  <si>
    <t>ATS</t>
  </si>
  <si>
    <t>Date de Livraison</t>
  </si>
  <si>
    <t>Estimation de Documentation</t>
  </si>
  <si>
    <t>IRL Marché Etranger</t>
  </si>
  <si>
    <t>Les règles de gestion: IRL</t>
  </si>
  <si>
    <t>RDG_IRL_DN</t>
  </si>
  <si>
    <t>Date de négociation</t>
  </si>
  <si>
    <t>La date de négociation doit être inférieure ou égale à la date du jour</t>
  </si>
  <si>
    <t>Règles de gestion</t>
  </si>
  <si>
    <t>Lot1</t>
  </si>
  <si>
    <t>RDG_IRL_DD</t>
  </si>
  <si>
    <t>Date de négociation - Date de dénouement</t>
  </si>
  <si>
    <t>La date de négociation doit être inférieure ou égale à la date de dénouement</t>
  </si>
  <si>
    <t>RDG_IRL_CT_1</t>
  </si>
  <si>
    <t>Compte-titres</t>
  </si>
  <si>
    <t>Le compte titres client doit être actif</t>
  </si>
  <si>
    <t>RDG_IRL_CT_2</t>
  </si>
  <si>
    <t>Le compte titres client n’est pas défini (IRL reçu via Swift)</t>
  </si>
  <si>
    <t>RDG_IRL_CE_1</t>
  </si>
  <si>
    <t>Compte-espèces</t>
  </si>
  <si>
    <t>Le compte espèces client n’est pas défini (IRL reçu via Swift)</t>
  </si>
  <si>
    <t>RDG_IRL_CE_2</t>
  </si>
  <si>
    <t>Le compte espèces client n’est pas celui du client</t>
  </si>
  <si>
    <t>RDG_IRL_CE_3</t>
  </si>
  <si>
    <t>La devise du compte espèces client doit être celle de dénouement</t>
  </si>
  <si>
    <t>RDG_IRL_ASC</t>
  </si>
  <si>
    <t>Adresse swift client</t>
  </si>
  <si>
    <t>Le BIC reçu dans le Swift n’est pas autorisé à instruire pour le compte titres</t>
  </si>
  <si>
    <t>RDG_IRL_T</t>
  </si>
  <si>
    <t>Titre</t>
  </si>
  <si>
    <t>Le titre n’est pas défini (IRL reçu via Swift)</t>
  </si>
  <si>
    <t>RDG_IRL_RC</t>
  </si>
  <si>
    <t>Référence client</t>
  </si>
  <si>
    <t>La référence client est dupliqué pour le compte titre client</t>
  </si>
  <si>
    <t>RDG_IRL_Q_1</t>
  </si>
  <si>
    <t>Quantité</t>
  </si>
  <si>
    <t>La quantité ne doit pas être décimalisée pour les actions</t>
  </si>
  <si>
    <t>RDG_IRL_Q_2</t>
  </si>
  <si>
    <t>La quantité ne doit pas être négative</t>
  </si>
  <si>
    <t>RDG_IRL_C</t>
  </si>
  <si>
    <t>Contrepartie</t>
  </si>
  <si>
    <t>La contrepartie doit être renseignée</t>
  </si>
  <si>
    <t>RDG_IRL_D</t>
  </si>
  <si>
    <t>Dépositaire</t>
  </si>
  <si>
    <t>Le dépositaire doit être actif</t>
  </si>
  <si>
    <t>RDG_IRL_CDD</t>
  </si>
  <si>
    <t>Chaine de dénouement</t>
  </si>
  <si>
    <t>La chaine de dénouement doit être renseignée</t>
  </si>
  <si>
    <t>0.125</t>
  </si>
  <si>
    <t>RDG_IRL_PDD</t>
  </si>
  <si>
    <t>Place de dénouement</t>
  </si>
  <si>
    <t>La place de dénouement dans la chaine de dénouement doit être renseignée</t>
  </si>
  <si>
    <t>RDG_IRL_MDD</t>
  </si>
  <si>
    <t>Montant de dénouement</t>
  </si>
  <si>
    <t>Le montant de dénouement doit être zéro pur les IRL sans frais</t>
  </si>
  <si>
    <t>IRL Classique: Achat</t>
  </si>
  <si>
    <t>IRL_RF_1</t>
  </si>
  <si>
    <t>IRL d'achat sans paiement : traitement manuel</t>
  </si>
  <si>
    <t>IRL Réception avec ou sans paiement</t>
  </si>
  <si>
    <t>IRL_RF_2</t>
  </si>
  <si>
    <t>IRL d'achat sans paiement : traitement automatique</t>
  </si>
  <si>
    <t>IRL_RVF_3</t>
  </si>
  <si>
    <t>IRL d'achat Contre paiement : traitement manuel</t>
  </si>
  <si>
    <t>IRL_RVF_4</t>
  </si>
  <si>
    <t>IRL d'achat Contre paiement : traitement automatique</t>
  </si>
  <si>
    <t>IRL d'achat Contre paiement : traitement automatique + insufissance de Cash</t>
  </si>
  <si>
    <t>IRL_RVF_5</t>
  </si>
  <si>
    <t>Annulation manuelle d'une IRL instruite non transmise au dépositaire</t>
  </si>
  <si>
    <t>IRL_RVF_6</t>
  </si>
  <si>
    <t>Annulation manuelle d'une IRL instruite transmise au dépositaire</t>
  </si>
  <si>
    <t>IRL_RVF_7</t>
  </si>
  <si>
    <t>Intégration d'un MT548 NMAT</t>
  </si>
  <si>
    <t>IRL_RVF_8</t>
  </si>
  <si>
    <t>IRL d'achat globale</t>
  </si>
  <si>
    <t>IRL globale</t>
  </si>
  <si>
    <t>IRL_RVF_9</t>
  </si>
  <si>
    <t>IRL d'achat globale Automatique</t>
  </si>
  <si>
    <t>IRL d'achat globale Automatique via fichier excel</t>
  </si>
  <si>
    <t>IRL_RVF_10</t>
  </si>
  <si>
    <t>IRL d'achat avec Paiementautomatique via fichier excel</t>
  </si>
  <si>
    <t>IRL Classique: Vente</t>
  </si>
  <si>
    <t>IRL_DF_5</t>
  </si>
  <si>
    <t>IRL de vente sans paiement : traitement manuel</t>
  </si>
  <si>
    <t>IRL Livraison avec ou sans paiement</t>
  </si>
  <si>
    <t>IRL_DF_6</t>
  </si>
  <si>
    <t>IRL de vente sans paiement : traitement automatique</t>
  </si>
  <si>
    <t>IRL_DVP_7</t>
  </si>
  <si>
    <t>IRL de vente contre paiement : traitement manuel  + donnée invalide</t>
  </si>
  <si>
    <t>IRL_DVP_8</t>
  </si>
  <si>
    <t>IRL de vente contre paiement : traitement automatique  + Annulation</t>
  </si>
  <si>
    <t>IRL_DVP_9</t>
  </si>
  <si>
    <t>IRL_DVP_10</t>
  </si>
  <si>
    <t>IRL_DVP_11</t>
  </si>
  <si>
    <t>IRL de vente globale</t>
  </si>
  <si>
    <t>IRL_DVP_12</t>
  </si>
  <si>
    <t>IRL de vente déversée depuis le carnet d’ordre</t>
  </si>
  <si>
    <t>Transfert cross border de Maroc Telecom</t>
  </si>
  <si>
    <t>PRL_1_transfert cross border</t>
  </si>
  <si>
    <t>transfert cross border de Maroc Telecom : marché étranger</t>
  </si>
  <si>
    <t>Transfert cross border</t>
  </si>
  <si>
    <t>PRL_2_transfert cross border</t>
  </si>
  <si>
    <t>transfert cross border de Maroc Telecom :marché local (Euroclear)</t>
  </si>
  <si>
    <t>PRL_3_transfert cross border</t>
  </si>
  <si>
    <t>transfert cross border de Maroc Telecom :marché local (BP2S)</t>
  </si>
  <si>
    <t>PRL_4_transfert cross border</t>
  </si>
  <si>
    <t>transfert cross border de Maroc Telecom :marché local</t>
  </si>
  <si>
    <t>Confirmation de Dénouement reçu sans IRL envoyée par mégara</t>
  </si>
  <si>
    <t>Mise / prise en Pension</t>
  </si>
  <si>
    <t>PRL_REPO_RDG_1</t>
  </si>
  <si>
    <t>Date de retour</t>
  </si>
  <si>
    <t>La date de retour (Maturité) n’est pas renseignée</t>
  </si>
  <si>
    <t>IRL REPO</t>
  </si>
  <si>
    <t>PRL_REPO_RDG_2</t>
  </si>
  <si>
    <t>Montant de retour</t>
  </si>
  <si>
    <t>Le montant de retour n’est pas renseigné</t>
  </si>
  <si>
    <t>PRL_REPO_RDG_3</t>
  </si>
  <si>
    <t>La date de retour (Maturité) doit être supérieure ou égale à la date de dénouement</t>
  </si>
  <si>
    <t>PRL_REPO_1</t>
  </si>
  <si>
    <t>La gestion d'une IRL REPO</t>
  </si>
  <si>
    <t>IRL RVPO</t>
  </si>
  <si>
    <t>La gestion d'une IRL RVPO</t>
  </si>
  <si>
    <t>Transfert</t>
  </si>
  <si>
    <t>Transfert transferts OPCVM via FundSettle_Déversement du FundSettle sur le RL</t>
  </si>
  <si>
    <t>Déversement du FundSettle sur le RL</t>
  </si>
  <si>
    <t>Transferts</t>
  </si>
  <si>
    <t>Transfert transferts OPCVM via FundSettle_Transfert d'une position</t>
  </si>
  <si>
    <t>Transfert d'une position</t>
  </si>
  <si>
    <t>Tranfert interne 1</t>
  </si>
  <si>
    <t>Transfert compte à compte : pour un mm Custodian et mm Compte Nostro titres</t>
  </si>
  <si>
    <t>Tranfert interne 2</t>
  </si>
  <si>
    <t>Transfert compte à compte : pour un mm Custodian et deux Compte Nostro titres Differents</t>
  </si>
  <si>
    <t>Transfer externe</t>
  </si>
  <si>
    <t>Natissement / prêt / emprunt</t>
  </si>
  <si>
    <t>nantissement</t>
  </si>
  <si>
    <t>prêt / emprunt</t>
  </si>
  <si>
    <t>Script Name : Date de négociation</t>
  </si>
  <si>
    <t>Description : La date de négociation doit être inférieure ou égale à la date du jour</t>
  </si>
  <si>
    <t>Etapes</t>
  </si>
  <si>
    <t>Résultat</t>
  </si>
  <si>
    <t>Etape 1</t>
  </si>
  <si>
    <t>Saisie d'une IRL d'achat sans paiement date de negociation &gt; date du jour</t>
  </si>
  <si>
    <t>IRL est cree avec status : Incomlete</t>
  </si>
  <si>
    <t>Script Name : Date de négociation - Date de dénouement</t>
  </si>
  <si>
    <t>Description : La date de négociation doit être inférieure ou égale à la date de dénouement</t>
  </si>
  <si>
    <t>Saisie d'une IRL d'achat sans paiement  : Date de negociation &gt; date de denouement</t>
  </si>
  <si>
    <t>Script Name : Compte-titres</t>
  </si>
  <si>
    <t>Description : Le compte titres client doit être actif</t>
  </si>
  <si>
    <t>Saisie d'une IRL d'achat sans paiement avec un compte titre désactivé</t>
  </si>
  <si>
    <t>Description : Le compte titres client n’est pas défini (IRL reçu via Swift)</t>
  </si>
  <si>
    <t>récéption d'un MT541 : IRL d'achat contre paiement avec un compte titre inconnu</t>
  </si>
  <si>
    <t>Script Name : Compte-espèces</t>
  </si>
  <si>
    <t>Description : Le compte espèces client n’est pas défini (IRL reçu via Swift)</t>
  </si>
  <si>
    <t>récéption d'un MT541 : IRL d'achat contre paiement avec un compte cash inconnu</t>
  </si>
  <si>
    <t>IRL Created with status : “INCOMPLET”</t>
  </si>
  <si>
    <t>Description : Le compte espèces client n’est pas celui du client</t>
  </si>
  <si>
    <t>Saisie d'une IRL d'achat sans paiement  : Le compte espèces client n’est pas celui du client</t>
  </si>
  <si>
    <t>Description : La devise du compte espèces client doit être celle de dénouement</t>
  </si>
  <si>
    <t>Saisie d'une IRL d'achat sans paiement : La devise du compte espèces client differente de celle de dénouement</t>
  </si>
  <si>
    <t>Script Name : Adresse swift client</t>
  </si>
  <si>
    <t>Description : Le BIC reçu dans le Swift n’est pas autorisé à instruire pour le compte titres</t>
  </si>
  <si>
    <t>récéption d'un MT541 : IRL d'achat contre paiement avec un BIC non autorisé pour le compte titre</t>
  </si>
  <si>
    <t>Script Name : Titre</t>
  </si>
  <si>
    <t>Description : Le titre n’est pas défini (IRL reçu via Swift)</t>
  </si>
  <si>
    <t>récéption d'un MT541 : IRL d'achat contre paiement avec un titre inconnu</t>
  </si>
  <si>
    <t>Script Name : Référence client</t>
  </si>
  <si>
    <t>Description : La référence client est dupliqué pour le compte titre client</t>
  </si>
  <si>
    <t>IRL avec la même référence client existe déjà pour le compte-titres client renseigné.</t>
  </si>
  <si>
    <t>IRL est crée avec status : Incomlete</t>
  </si>
  <si>
    <t>Script Name : Quantité</t>
  </si>
  <si>
    <t>Description : La quantité ne doit pas être décimalisée pour les actions</t>
  </si>
  <si>
    <t>Saisie d'une IRL d'achat sans paiement  avec une quantité décimalisée pour les actions</t>
  </si>
  <si>
    <t>Description : La quantité ne doit pas être négative</t>
  </si>
  <si>
    <t>Saisie d'une IRL d'achat sans paiement ;avec une quantité négative</t>
  </si>
  <si>
    <t>Script Name : Contrepartie</t>
  </si>
  <si>
    <t>Description : La contrepartie doit être renseignée</t>
  </si>
  <si>
    <t>Saisie d'une IRL d'achat sans paiement ;La contrepartie non renseignée</t>
  </si>
  <si>
    <t>Script Name : Dépositaire</t>
  </si>
  <si>
    <t>Description : Le dépositaire doit être actif</t>
  </si>
  <si>
    <t>Saisie d'une IRL d'achat sans paiement avec dépositaire désactivé</t>
  </si>
  <si>
    <t>Script Name : Chaine de dénouement</t>
  </si>
  <si>
    <t>Description : La chaine de dénouement doit être renseignée</t>
  </si>
  <si>
    <t>Saisie d'une IRL d'achat sans paiement ;La chaine de dénouement non renseignée</t>
  </si>
  <si>
    <t>Script Name : Place de dénouement</t>
  </si>
  <si>
    <t>Description : La place de dénouement dans la chaine de dénouement doit être renseignée</t>
  </si>
  <si>
    <t>Saisie d'une IRL d'achat sans paiement : Description : La place de dénouement dans la chaine de dénouement non renseignée</t>
  </si>
  <si>
    <t>Script Name : Montant de dénouement</t>
  </si>
  <si>
    <t>Description : Le montant de dénouement doit être zéro pur les IRL sans frais</t>
  </si>
  <si>
    <t>Saisie d'une IRL d'achat sans paiement avec prix</t>
  </si>
  <si>
    <t>Script Name : IRL_RF_Manuel</t>
  </si>
  <si>
    <t>Description : IRL d'achat sans paiement : traitement manuel</t>
  </si>
  <si>
    <t>Saisie d'une IRL d'achat sans paiement</t>
  </si>
  <si>
    <t>Les Références Application et Princiaple sont générées par le système
A partir du Compte Titres, le système doit déduire le Client et son Compte Le système doit déduire la date de dénouement théorique à partir de la fenêtre de dénouement
Les commissions sont bien calculées selon les règles de tarification paramétrées
=&gt; instruction est créée dans le statut "en attente de validation"</t>
  </si>
  <si>
    <t>Etape 2</t>
  </si>
  <si>
    <t>Validation manuelle de l'IRL créée</t>
  </si>
  <si>
    <t>L'instruction client passe au statut "Instruite"
Une Instruction Marché est créée dans le statut "instruite"
un suspens est posté dans le statut 'Instruit"
Un MT540 est envoyé au dépositaire</t>
  </si>
  <si>
    <t>Etape 3</t>
  </si>
  <si>
    <t>Appriement manuel de l'instruction Marché et client</t>
  </si>
  <si>
    <t>L'instruction Marché reste dans le statut "instruite" avec  statut de validation " en attente de validation d'appariement"</t>
  </si>
  <si>
    <t>Etape 4</t>
  </si>
  <si>
    <t>Validation de l'appariement</t>
  </si>
  <si>
    <t>L'instruction client passe au statut "appariée"
L'instruction Marché passe au statut "appariée"
Les suspens postés coté client et coté marché passent au statut"appariée"
un MT548  MTCH//MACH  est envoyé au client</t>
  </si>
  <si>
    <t>Etape 5</t>
  </si>
  <si>
    <t>dénouement manuel de l'instruction Marché et client</t>
  </si>
  <si>
    <t>Une Instruction Marché reste dans le statut "apparié" avec  statut de validation " en attente de validation de l'appariement"</t>
  </si>
  <si>
    <t>Etape 6</t>
  </si>
  <si>
    <t>Validation du dénouement</t>
  </si>
  <si>
    <t>L'instruction client passe au statut "denouée"
L'instruction Marché passe au statut "denouée"
Les suspens postés coté client et coté marché passent au statut "impacté"
la position ferme denouée coté client et marché est mise à jour 
un MT544 confirmation de dénouement est envoyé au client</t>
  </si>
  <si>
    <t>Script Name : IRL_RF_Automatique</t>
  </si>
  <si>
    <t>Description : IRL d'achat sans paiement : traitement automatique</t>
  </si>
  <si>
    <t>récéption d'un MT540 : IRL d'achat sans paiement</t>
  </si>
  <si>
    <t>Les Références Application et Princiaple sont générées par le système
Les commissions sont bien calculées selon les règles de tarification paramétrées
Une instruction client est créée dans le statut  "Instruite"
Une Instruction Marché est créée dans le statut "instruite"
un suspens est posté coté client est coté marché dans le statut 'Instruit"
Un MT540 est envoyé au dépositaire</t>
  </si>
  <si>
    <t>Récéption d'un MT548 MTCH//MATCH : Appriement automatique</t>
  </si>
  <si>
    <t>Récéption d'un MT544 du dépositaire</t>
  </si>
  <si>
    <t>Réconciliation automatique 
L'instruction client passe au statut "denouée"
L'instruction Marché passe au statut "denouée"
Les suspens postés coté client et coté marché passent au statut "impacté"
la position ferme denouée coté client et marché est mise à jour 
un MT544 confirmation de dénouement est envoyé au client</t>
  </si>
  <si>
    <t>Script Name : IRL_RVF_Manuel</t>
  </si>
  <si>
    <t>Description : IRL d'achat contre paiement : traitement manuel</t>
  </si>
  <si>
    <t>Saisie d'une IRL d'achat contre paiement</t>
  </si>
  <si>
    <t>un CRO de réservation espéce est envoyé au systéme Cash et un aquittement est reçu (wsdl)
L'instruction client passe au statut "Instruite"
Une Instruction Marché est créée dans le statut "instruite"
un suspens est posté  coté client et client marché dans le statut 'Instruit"
Un MT541 est envoyé au dépositaire</t>
  </si>
  <si>
    <t>L'instruction client passe au statut "appariée"
L'instruction Marché passe au statut "appariée"
Les suspens postés coté client et coté marché passent au statut"appariée"
un MT548  MTCH//MACH est envoyé au client</t>
  </si>
  <si>
    <t>dénouement manuel  de l'instruction Marché et client</t>
  </si>
  <si>
    <t>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MT5454 confirmation de dénouement est envoyé au client</t>
  </si>
  <si>
    <t>Script Name : IRL_RVP_Automatique</t>
  </si>
  <si>
    <t>Description : IRL d'achat contre paiement : traitement automatique + insufissance de Cash</t>
  </si>
  <si>
    <t>récéption d'un MT541 : IRL d'achat contre paiement</t>
  </si>
  <si>
    <t>Les Références Application et Princiaple sont générées par le système
Les commissions sont bien calculées selon les règles de tarification paramétrées
un CRO de réservation espéce est envoyé au systéme Cash et un NACK est reçu (wsdl)
Une Instruction client est créée dans le statut "Insuffisance d'éspéce"
un MT 548 PPRC//MONY est envoyé au client</t>
  </si>
  <si>
    <t>le client verse alimente son compte chez la banque, l'utilisateur vérifie l'IRL (recheck cash)</t>
  </si>
  <si>
    <t>un deuxiéme CRO de réservation est envoyé à la banque et un ACK est reçu 
L'instruction client passe au statut "instruite" 
Une Instruction Marché est créée dans le statut "instruite"
un suspens est posté coté client est coté marché dans le statut 'Instruit"
Un MT541 est envoyé au dépositaire</t>
  </si>
  <si>
    <t>L'instruction client passe au statut "appariée"
L'instruction Marché passe au statut "appariée"
Les suspens postés coté client et coté marché passent au statut"appariée"
un MT548 MTCH//MACH est envoyé au client</t>
  </si>
  <si>
    <t>Réconciliation automatique 
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MT545 confirmation de dénouement est envoyé au client</t>
  </si>
  <si>
    <t>Script Name : Annulation manuelle d'une IRL instruite non transmise au dépositaire</t>
  </si>
  <si>
    <t>Description : Annulation manuelle d'une IRL instruite non transmise au dépositaire</t>
  </si>
  <si>
    <t>L'instruction client passe au statut "Instruite"
Une Instruction Marché est créée dans le statut "instruite"
un suspens est posté dans le statut 'Instruit"
Un MT540 non envoyé au dépositaire</t>
  </si>
  <si>
    <t>Annulation manuelle d' IRL</t>
  </si>
  <si>
    <t>Script Name : Annulation manuelle d'une IRL instruite transmise au dépositaire</t>
  </si>
  <si>
    <t>Description : Annulation manuelle d'une IRL instruite transmise au dépositaire</t>
  </si>
  <si>
    <t>Script Name : Intégration d'un MT548 NMAT</t>
  </si>
  <si>
    <t>Description : Intégration d'un MT548 NMAT</t>
  </si>
  <si>
    <t>Saisie d'une IRL D'Achat  avec Paiement</t>
  </si>
  <si>
    <t>Le Swift MT548 reçu</t>
  </si>
  <si>
    <t>MT548 reçu est rattaché à l’IRL , le rapprochement est fait en se basant sur la référence marché reçu dans le MT548:RELA.                                                                                                                      le montant reçu dans le MT548 doit être considérer pour la notification de dénouement au client.        Le dépositaire Euroclear procède au matching même si les montants des instructions sont différents. Le montant du dénouement du MT 548 doit remplacer celui de l’IRL client.</t>
  </si>
  <si>
    <t>Script Name : IRL d'achat globale</t>
  </si>
  <si>
    <t>Description : IRL d'achat globale</t>
  </si>
  <si>
    <r>
      <t xml:space="preserve"> Saisie Instruction Globale : achat  RVF                                        •Une ORL globale est composée de plusieurs ORL Simples ayant encommun :</t>
    </r>
    <r>
      <rPr>
        <b/>
        <sz val="10"/>
        <color rgb="FF376092"/>
        <rFont val="Arial"/>
        <family val="2"/>
        <charset val="1"/>
      </rPr>
      <t xml:space="preserve">–La source (exemple: Gestionnaire de fonds)
–Le titre
–Les dates
–Le Type d’opération
–La Place Of Settlement
–La contrepartie et Chaine de R/L                                             </t>
    </r>
    <r>
      <rPr>
        <sz val="10"/>
        <color rgb="FF376092"/>
        <rFont val="Arial"/>
        <family val="2"/>
        <charset val="1"/>
      </rPr>
      <t xml:space="preserve"> •Chaque ORL Simple porte sur un compte titres client différent enspécifiant:
</t>
    </r>
    <r>
      <rPr>
        <b/>
        <sz val="10"/>
        <color rgb="FF376092"/>
        <rFont val="Arial"/>
        <family val="2"/>
        <charset val="1"/>
      </rPr>
      <t xml:space="preserve">–La quantité instruite
–Le montant (ventes / achat contre paiement)                           </t>
    </r>
    <r>
      <rPr>
        <sz val="10"/>
        <color rgb="FF376092"/>
        <rFont val="Arial"/>
        <family val="2"/>
        <charset val="1"/>
      </rPr>
      <t xml:space="preserve"> •la creation de l IRL se fait %au donnée de l'ORL Multiple</t>
    </r>
  </si>
  <si>
    <r>
      <t xml:space="preserve">•Une ORL globale est composée de plusieurs ORL Simples ayant encommun :                               </t>
    </r>
    <r>
      <rPr>
        <b/>
        <sz val="10"/>
        <color rgb="FF376092"/>
        <rFont val="Arial"/>
        <family val="2"/>
        <charset val="1"/>
      </rPr>
      <t xml:space="preserve">–La source (exemple: Gestionnaire de fonds)
–Le titre
–Les dates
–Le Type d’opération
–La Place Of Settlement
–La contrepartie et Chaine de R/L                                                                                                   </t>
    </r>
    <r>
      <rPr>
        <sz val="10"/>
        <color rgb="FF376092"/>
        <rFont val="Arial"/>
        <family val="2"/>
        <charset val="1"/>
      </rPr>
      <t xml:space="preserve"> •Chaque ORL Simple porte sur un compte titres client différent enspécifiant:
</t>
    </r>
    <r>
      <rPr>
        <b/>
        <sz val="10"/>
        <color rgb="FF376092"/>
        <rFont val="Arial"/>
        <family val="2"/>
        <charset val="1"/>
      </rPr>
      <t xml:space="preserve">–La quantité instruite
–Le montant (ventes / achat contre paiement)                                                                                  </t>
    </r>
    <r>
      <rPr>
        <sz val="10"/>
        <color rgb="FF376092"/>
        <rFont val="Arial"/>
        <family val="2"/>
        <charset val="1"/>
      </rPr>
      <t xml:space="preserve">la creation de l IRL se fait %au donnée de l'ORL Multiple </t>
    </r>
  </si>
  <si>
    <t>Script Name : IRL d'achat globale Automatique</t>
  </si>
  <si>
    <t>Description : IRL d'achat globale automatique via fichier excel</t>
  </si>
  <si>
    <t>Reception d'une Instruction Globale  via fichier excel : achat  RVF</t>
  </si>
  <si>
    <t>L'IRL d'achet globale est crée avec le status : INSTRUIT</t>
  </si>
  <si>
    <t>Script Name : IRL d'achat avec Paiement</t>
  </si>
  <si>
    <t>Description : IRL d'achat avec Paiementautomatique via fichier excel</t>
  </si>
  <si>
    <t>Reception d'une Instruction Simple achat  RVF  via fichier excel</t>
  </si>
  <si>
    <t>Script Name : IRL_DF_Manuel</t>
  </si>
  <si>
    <t>Description : IRL de vente sans paiement : traitement manuel  + insuffisance de titre</t>
  </si>
  <si>
    <t>Saisie d'une IRL de vente sans paiement</t>
  </si>
  <si>
    <t>L'instruction client passe au statut "insuffisance de titre"
pas de suspens  posté
pas d'instruction marché créée
un MT548 PPRC//LACK</t>
  </si>
  <si>
    <t>l'utilisateur authorise manuellement la resérvation titre</t>
  </si>
  <si>
    <t>L'instruction client passe au statut "Instruite"
un MT548 INMT//NMAT est généré au client
Une Instruction Marché est créée dans le statut "instruite"
un suspens est posté coté client coté marché dans le statut 'Instruit"
Un MT542 est envoyé au dépositaire</t>
  </si>
  <si>
    <t>Etape 7</t>
  </si>
  <si>
    <t>L'instruction client passe au statut "denouée"
L'instruction Marché passe au statut "denouée"
Les suspens postés coté client et coté marché passent au statut "impacté"
la position ferme denouée coté client et marché est mise à jour 
un MT545 confirmation de dénouement est envoyé au client</t>
  </si>
  <si>
    <t>Script Name : IRL_DF_Automatique</t>
  </si>
  <si>
    <t>Description : IRL de vente sans paiement : traitement automatique  + dénouement partiel</t>
  </si>
  <si>
    <t>récéption d'un MT542 : IRL de vente sans paiement</t>
  </si>
  <si>
    <t>Les Références Application et Princiaple sont générées par le système
Les commissions sont bien calculées selon les règles de tarification paramétrées
contrôle provision est effectué
Une instruction client est créée dans le statut  "Instruite"
Une Instruction Marché est créée dans le statut "instruite"
un suspens est posté coté client est coté marché dans le statut 'Instruit"
Un MT542 est envoyé au dépositaire</t>
  </si>
  <si>
    <t>Récéption d'un MT546 dénouement partiel du dépositaire</t>
  </si>
  <si>
    <t>Réconciliation automatique 
L'instruction client passe au statut "partiellement denouée"
L'instruction Marché passe au statut "parielleement denouée"
Les suspens postés coté client et coté marché passent au statut "partiellement impacté" pour la quantité dénoué 
Deux autre  suspens sont postés colté client et marché pour la partie non denouée avec statut "apparié" 
la position coté client et marché est mise à jour par la prtie dénouée</t>
  </si>
  <si>
    <t>Récéption d'un MT546 dénouement total du dépositaire</t>
  </si>
  <si>
    <t>Réconciliation automatique 
L'instruction client passe au statut "denouée"
L'instruction Marché passe au statut "denouée"
les deux  suspens  postés colté client et marché pour la partie non denouée passent au statut "impacté" 
la position coté client et marché est mise à jour par la partie dénouée
un MT546 PARS//PARC est envoyé au client</t>
  </si>
  <si>
    <t>Script Name : IRL_DVP_Manuel</t>
  </si>
  <si>
    <t>Description : IRL de vente contre paiement : traitement manuel  + donnée invalide</t>
  </si>
  <si>
    <t>Saisie d'une IRL de vente contre  paiement avec donnée invalide/incomplete</t>
  </si>
  <si>
    <t>vérification des régles de gestion
=&gt; instruction est créée dans le statut "donnée invalide"</t>
  </si>
  <si>
    <t>réparation de l'instruction : l'utilisateur corrige la donnée invalide</t>
  </si>
  <si>
    <t>L'instruction client passe au statut "en attente de validation"</t>
  </si>
  <si>
    <t>L'instruction client passe au statut "Instruite"
Une Instruction Marché est créée dans le statut "instruite"
un suspens est posté coté client coté marché dans le statut 'Instruit"
Un MT543 est envoyé au dépositaire</t>
  </si>
  <si>
    <t>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MT547 confirmation de dénouement est envoyé au client</t>
  </si>
  <si>
    <t>Script Name : IRL_DVP_Automatique</t>
  </si>
  <si>
    <t>Description : IRL de vente contre paiement : traitement automatique  + Annulation</t>
  </si>
  <si>
    <t>récéption d'un MT543 : IRL de vente contre paiement</t>
  </si>
  <si>
    <t>Les Références Application et Princiaple sont générées par le système
Les commissions sont bien calculées selon les règles de tarification paramétrées
contrôle provision est effectué
Une instruction client est créée dans le statut  "Instruite"
Une Instruction Marché est créée dans le statut "instruite"
un suspens est posté coté client est coté marché dans le statut 'Instruit"
Un MT543 est envoyé au dépositaire</t>
  </si>
  <si>
    <t>Saisie d'une IRL de vente contre  paiement</t>
  </si>
  <si>
    <t>L'instruction client crée au statut "Instruite"
Une Instruction Marché est créée dans le statut "instruite"
un suspens est posté coté client coté marché dans le statut 'Instruit"
Un MT543 est envoyé au dépositaire</t>
  </si>
  <si>
    <t>Annulation manuelle d' IRL :  Annulation des Instructions Non Validées</t>
  </si>
  <si>
    <t>CancellationAcceptedInternally l'IRL est sous le status = “ANNULE”</t>
  </si>
  <si>
    <t>Saisie d'une IRL DE VENTE avec Paiement</t>
  </si>
  <si>
    <t>*IRL client Crée avec status INSTRUIT ;                                                                                           *IRL Marché Crée avec Status INSTRUIT</t>
  </si>
  <si>
    <t>MT548 reçu est rattaché à l’IRL , rapprochement est fait en se basant sur la référence marché reçu dans le MT548:RELA.                                                                                                                      le montant reçu dans le MT548 doit être considérer pour la notification de dénouement au client.        Le dépositaire Euroclear procède au matching même si les montants des instructions sont différents. Le montant du dénouement du MT 548 doit remplacer celui de l’IRL client.</t>
  </si>
  <si>
    <t>Script Name : IRL de vente globale</t>
  </si>
  <si>
    <t>Description : IRL de vente globale</t>
  </si>
  <si>
    <r>
      <t xml:space="preserve"> Saisie Instruction Globale : vente DVP                                        •Une ORL globale est composée de plusieurs ORL Simples ayant encommun :</t>
    </r>
    <r>
      <rPr>
        <b/>
        <sz val="10"/>
        <color rgb="FF376092"/>
        <rFont val="Arial"/>
        <family val="2"/>
        <charset val="1"/>
      </rPr>
      <t xml:space="preserve">–La source (exemple: Gestionnaire de fonds)
–Le titre
–Les dates
–Le Type d’opération
–La Place Of Settlement
–La contrepartie et Chaine de R/L                                             </t>
    </r>
    <r>
      <rPr>
        <sz val="10"/>
        <color rgb="FF376092"/>
        <rFont val="Arial"/>
        <family val="2"/>
        <charset val="1"/>
      </rPr>
      <t xml:space="preserve"> •Chaque ORL Simple porte sur un compte titres client différent enspécifiant:
</t>
    </r>
    <r>
      <rPr>
        <b/>
        <sz val="10"/>
        <color rgb="FF376092"/>
        <rFont val="Arial"/>
        <family val="2"/>
        <charset val="1"/>
      </rPr>
      <t xml:space="preserve">–La quantité instruite
–Le montant (ventes / achat contre paiement)                           </t>
    </r>
    <r>
      <rPr>
        <sz val="10"/>
        <color rgb="FF376092"/>
        <rFont val="Arial"/>
        <family val="2"/>
        <charset val="1"/>
      </rPr>
      <t xml:space="preserve"> •la creation de l IRL se fait %au donnée de l'ORL Multiple                                         </t>
    </r>
  </si>
  <si>
    <r>
      <t xml:space="preserve">*les IRL Simples crée avec le status : INSTRUIT ayant en commun :                                                  </t>
    </r>
    <r>
      <rPr>
        <b/>
        <sz val="10"/>
        <color rgb="FF376092"/>
        <rFont val="Arial"/>
        <family val="2"/>
        <charset val="1"/>
      </rPr>
      <t xml:space="preserve">–La source (exemple: Gestionnaire de fonds)
–Le titre
–Les dates
–Le Type d’opération
–La Place Of Settlement
–La contrepartie et Chaine de R/L                                                                                                   </t>
    </r>
    <r>
      <rPr>
        <sz val="10"/>
        <color rgb="FF376092"/>
        <rFont val="Arial"/>
        <family val="2"/>
        <charset val="1"/>
      </rPr>
      <t xml:space="preserve"> •Chaque ORL Simple porte sur un compte titres client différent enspécifiant:
</t>
    </r>
    <r>
      <rPr>
        <b/>
        <sz val="10"/>
        <color rgb="FF376092"/>
        <rFont val="Arial"/>
        <family val="2"/>
        <charset val="1"/>
      </rPr>
      <t xml:space="preserve">–La quantité instruite
–Le montant (ventes / achat contre paiement)                                                                                  </t>
    </r>
    <r>
      <rPr>
        <sz val="10"/>
        <color rgb="FF376092"/>
        <rFont val="Arial"/>
        <family val="2"/>
        <charset val="1"/>
      </rPr>
      <t xml:space="preserve">la creation de l IRL se fait %au donnée de l'ORL Multiple </t>
    </r>
  </si>
  <si>
    <t>Script Name : IRL de vente déversée depuis le carnet d’ordre</t>
  </si>
  <si>
    <t>Description : IRL de vente déversée depuis le carnet d’ordre</t>
  </si>
  <si>
    <t>Reception d'une IRL Déversée depuis MegaTrade</t>
  </si>
  <si>
    <t>MT542 délivré de Mega Trade a MegaCustody ,                                                                             MT542 impacté avec succee                                                                                                        IRL de vente est crée avec status “INSTRUIT”                                                             *(Problématique des frais Broker et Frais de courtage AWB)L'écart des montants constaté au niveau du carnet (se refer au SFD MegaTrade Marché étranger) du au fait de la commission du broker étranger et la commission de courtage AWB doit etre fidèlement reflété au niveau des IRL marché et client respectivement, en tenant en plus de l'impact des commission de R/L sur le net client.</t>
  </si>
  <si>
    <t>A noté :</t>
  </si>
  <si>
    <t>* Net marché: Montant brut +/- Commission Société de bourse étrangère</t>
  </si>
  <si>
    <t>* Montant de dénouement: Montant brut +/- Commission de courtage</t>
  </si>
  <si>
    <t>* Net client : Montant de dénouement +/- Commission de règlement/livraison</t>
  </si>
  <si>
    <t>Script Name : transfert cross border de Maroc Telecom : marché étranger</t>
  </si>
  <si>
    <t>Description : transfert cross border de Maroc Telecom : marché étranger</t>
  </si>
  <si>
    <t>Saisie d'une IRL Livraison a montant nul a Euroclear Bank pour livrer les titres a Maroclear : (ID2)                                      -Dépositaire Eligible : EuroclearBank                                    -Place of Settlement : Maroclear                                       -REAG: Compte du Maroclear chez Euroclear Frannce    -BUYER : AWB</t>
  </si>
  <si>
    <t>IRL Client Crée avec ID2 et status “Instruit” ,                                                                                  IRL Marché Crée avec ID2 et status “Instruit” ,                                                                               Des movements en cours sont crée coté client et coté marché ,                                                          MT542 généré et envoyé a EuroclearBank</t>
  </si>
  <si>
    <t>Pas de MT548 recevoir  : Appariment Manuel pour les IRL avec ID2</t>
  </si>
  <si>
    <t>* les status des instructions client et marché change a “Apparié”.
 * le status des movements en cours change  a  “Apparié”
 * MT548 genéré au client.</t>
  </si>
  <si>
    <t>Dénouement Manuel des IRL avec ID2</t>
  </si>
  <si>
    <t>* les status des instructions client et marché change a “Dénoué”.
 * le status des movements en cours change  a  “Impacté”
 * MT54Y genéré au client.</t>
  </si>
  <si>
    <t>Saisie d'une IRL Reception a montant nul a Maroclear (ID1)</t>
  </si>
  <si>
    <t>IRL Client Crée avec ID1 et status “Instruit” ,                                                                                  IRL Marché Crée avec ID1 et status “Instruit” ,                                                                               Des movements en cours sont crée coté client et coté marché ,</t>
  </si>
  <si>
    <t>Appariement Manuel pour les IRL avec ID1</t>
  </si>
  <si>
    <t>Dénouement Manuel des IRL avec ID1</t>
  </si>
  <si>
    <t>a noter qu'il s'agit de deux titres avec mm ISIN et ID differents</t>
  </si>
  <si>
    <t>Déposé chez maroclear :ID1: ISIN+MAD</t>
  </si>
  <si>
    <t>Déposé chez Euroclear :ID2: ISIN+EUR</t>
  </si>
  <si>
    <t>Script Name : transfert cross border de Maroc Telecom :marché local (Euroclear)</t>
  </si>
  <si>
    <t>Description : transfert cross border de Maroc Telecom :marché local (Euroclear)</t>
  </si>
  <si>
    <t>Saise d'une IRL de livraison des titres de Maroclear à Euroclear Bank  via Euroclear France (ID1)</t>
  </si>
  <si>
    <t>IRL Client Crée avec ID1 et status “Instruit” ,                                                                                 IRL Marché Crée avec ID1 et status “Instruit” ,                                                                                Des movements en cours sont crée coté client et coté marché ,                                                     FAX généré et envoyé a Maroclear,                                                                                                   MT542 généré et envoyé a EuroclearFrance</t>
  </si>
  <si>
    <t>Pas de MT548 recevoir  : Appariment Manuel pour les IRL avec ID1</t>
  </si>
  <si>
    <t>Saisie d'une IRL Reception (LCP à montant nul) à Euroclear Bank pour recevoir les titres de Maroclear via Euroclear France (ID2) : -Dépositaire eligible : Euroclear Bank                                   -Place of Settlement : Euroclear France                             -DEAG : compte de Maroclear Chez Euroclear France         -SELR : AWB</t>
  </si>
  <si>
    <t>IRL Client Crée avec ID2 et status “Instruit” ,                                                                                 IRL Marché Crée avec ID2 et status “Instruit” ,                                                                                Des movements en cours sont crée coté client et coté marché ,Generation MT540/D2 vers Euroclear Bank pour le transfert Out sur ID2 vers Euroclear Bank</t>
  </si>
  <si>
    <t>Appariement Manuel pour les IRL avec ID2</t>
  </si>
  <si>
    <t>Euroclear Bank envoie le MT 544 à la réception des titres.</t>
  </si>
  <si>
    <t>MT544 In : Reception des titres ID2</t>
  </si>
  <si>
    <t>Script Name : transfert cross border de Maroc Telecom :marché local (BP2S)</t>
  </si>
  <si>
    <t>Description : transfert cross border de Maroc Telecom :marché local (BP2S)</t>
  </si>
  <si>
    <t>Saise d'une IRL de livraison des titres de Maroclear à  BP2S  via Euroclear France (ID1)</t>
  </si>
  <si>
    <t>Saisie d'une IRL Reception (LCP à montant nul) à BP2S pour recevoir les titres de Maroclear via Euroclear France (ID2) : -Dépositaire eligible : BP2S                                                -Place of Settlement : Euroclear France                             -DEAG : compte de Maroclear Chez Euroclear France         -SELR : AWB</t>
  </si>
  <si>
    <t>IRL Client Crée avec ID2 et status “Instruit” ,                                                                                 IRL Marché Crée avec ID2 et status “Instruit” ,                                                                                Des movements en cours sont crée coté client et coté marché</t>
  </si>
  <si>
    <t>BP2S envoie le MT 536 pour la réception des titres sans qu’AWB n’envoie de MT 540.</t>
  </si>
  <si>
    <r>
      <t xml:space="preserve">Alerte tableau de bord  : </t>
    </r>
    <r>
      <rPr>
        <sz val="9"/>
        <color rgb="FF00000A"/>
        <rFont val="arial;tahoma"/>
        <charset val="1"/>
      </rPr>
      <t>Appariement reçue non rapprochée</t>
    </r>
  </si>
  <si>
    <t>l'utiisateur intervient manuellement en saisissant la reference de transaction reçue dans le MT536 dans l'IRL avec ID2</t>
  </si>
  <si>
    <t>IRL avec ID2 mis a jour</t>
  </si>
  <si>
    <t>l'utiisateur reprocesse le MT536 Reçue pour declanché lé dénouement</t>
  </si>
  <si>
    <t>Script Name : transfert cross border de Maroc Telecom :Marché Local</t>
  </si>
  <si>
    <t>Description : Confirmation de Dénouement reçu sans IRL envoyée par mégara</t>
  </si>
  <si>
    <t>IRL Client Crée avec ID2 et status “Instruit” ,                                                                                 IRL Marché Crée avec ID2 et status “Instruit” ,                                                                                Des movements en cours sont crée coté client et coté marché ,                                                     MT540 généré sans envoie au marché</t>
  </si>
  <si>
    <t>MT544 sans avoir généré au marché un MT540</t>
  </si>
  <si>
    <t>*Reception de MT54Y sans retrouver une IRL qui lui correspond moyennant la link ref marché
 *MT544 s'affiche sur le TB</t>
  </si>
  <si>
    <t>*Intervention Manuelle sur l'IR générée depuis le MT540 (sans communication vers le marché) et rajout manuel de la link ref qu'il reçoit dans le MT544 sur la jambe marché de l'IRL                      *Relancer le dénouement en utilisant  le MT544 reçu</t>
  </si>
  <si>
    <t>Script Name :Date de retour</t>
  </si>
  <si>
    <t>Description : La date de retour (Maturité) n’est pas renseignée</t>
  </si>
  <si>
    <t>Saisie manuel d'une instruction client de type REPO : sans renseigner la date de retour</t>
  </si>
  <si>
    <t>Instruction Client crée avec status : “INCOMPLET”</t>
  </si>
  <si>
    <t>Script Name : Montant de retour</t>
  </si>
  <si>
    <t>Description : Le montant de retour n’est pas renseigné</t>
  </si>
  <si>
    <t>Saisie manuel d'une instruction client de type REPO : sans renseigner la montant de retour</t>
  </si>
  <si>
    <t>Script Name : Date de retour</t>
  </si>
  <si>
    <t>Description :La date de retour (Maturité) doit être supérieure ou égale à la date de dénouement</t>
  </si>
  <si>
    <t>Saisie manuel d'une instruction client de type REPO : avec une date de retour &gt;= a la date de denouement</t>
  </si>
  <si>
    <t>Script Name : IRL REPO</t>
  </si>
  <si>
    <t>Description : La gestion d'une IRL REPO</t>
  </si>
  <si>
    <t>Saisie Instruction Client : Type de transaction :REPO : date de maturité ; type du taux ; la reference du contrat , taux du contrat ; montant du retour</t>
  </si>
  <si>
    <t>*IRL d'initiation est crée sous le status “Instruit”                                                                               *l'IRL jambe de retour est crée la création de la jambe d’initiation,                                                        *Des movements en cours sont crée coté client et coté marché                                                      *un seul Swift est généré au Dépositaire celui de la jambe d’initiation.</t>
  </si>
  <si>
    <t>Appariment Manuel de l'IRL d'initiation</t>
  </si>
  <si>
    <t>*le status de l'IRL d'Initiation change a “Apparié”.                                                                                *le status de l'IRL de la jambe de retour reste “Instruit”.</t>
  </si>
  <si>
    <t>Denouement de la jambe initiale via MT54Y</t>
  </si>
  <si>
    <t>*IRL d'initiation est crée sous le status “Dénoué”                                                                               *le status de l'IRL de la jambe de retour reste “Apparié”.                                                                *Les mouvement en cours sont impacté                                                                                           * MT54Y genéré au client.</t>
  </si>
  <si>
    <t>Dénouement de la jambe de retour Via MT54Y (se fait par la référence de la Jambe retour.)</t>
  </si>
  <si>
    <t>*IRL d'initiation est crée sous le status “Dénoué”                                                                               *le status de l'IRL de la jambe de retour reste “Denoué”.                                                                   *Les mouvement en cours sont impacté</t>
  </si>
  <si>
    <t>Script Name : IRL RVPO</t>
  </si>
  <si>
    <t>Description : La gestion d'une IRL RVPO</t>
  </si>
  <si>
    <t>Saisie Instruction Client : Type de transaction RVREPO : date de maturité ; type du taux ; la reference du contrat , taux du contrat ; montant du retour</t>
  </si>
  <si>
    <t>Script Name : Transfert transferts OPCVM via FundSettle</t>
  </si>
  <si>
    <t>Description : Déversement du FundSettle sur le Règlement/Livraison</t>
  </si>
  <si>
    <t>Tout le traitement est sans communication avec le marché</t>
  </si>
  <si>
    <t>Saisie manuelle d'IRL client (OPCVM)</t>
  </si>
  <si>
    <t>IRL client crée avec status : INSTRUIT                                                                                        *IRL Marché Crée avec status : INSTRUIT                                                                                    *Des Mouvements en cours sont crée coté client et coté marché</t>
  </si>
  <si>
    <t>Appariement manuel</t>
  </si>
  <si>
    <t>IRL client crée avec status : APPARIÉ                                                                                        *IRL Marché Crée avec status : APPARIÉ                                                                          *Generation de MT548 au client</t>
  </si>
  <si>
    <t>Dénouement manuel</t>
  </si>
  <si>
    <t>IRL client crée avec status : DÉNOUÉ                                                                                        *IRL Marché Crée avec status : DÉNOUÉ                                                                                    *Les Mouvements en cours coté client et coté marché sont Impacté                                    *Generation de MT54Y au Client</t>
  </si>
  <si>
    <t>Description : Transfert d'une position sur le Nostro FundSettle vers un Nostro Euroclear Bank</t>
  </si>
  <si>
    <t>saisie d'une IRL DF pour une position sur le Nostro FundSettle</t>
  </si>
  <si>
    <t>Appariement manuel de l'IRL DF</t>
  </si>
  <si>
    <t>IRL client crée avec status : APPARIÉ                                                                                        *IRL Marché Crée avec status : APPARIÉ                                                                                 *Generation de MT548 au client</t>
  </si>
  <si>
    <t>Dénouement manuel de l'IRL DF</t>
  </si>
  <si>
    <t>IRL client crée avec status : DÉNOUÉ                                                                                        *IRL Marché Crée avec status : DÉNOUÉ                                                                                    *Les Mouvements en cours coté client et coté marché sont Impacté                                              *Generation de MT54Y au Client</t>
  </si>
  <si>
    <t>saisie d'une IRL RF de position vers un Nostro Euroclear Bank</t>
  </si>
  <si>
    <t>Appariement manuel de l'IRL RF</t>
  </si>
  <si>
    <t>IRL client crée avec status : APPARIÉ                                                                                        *IRL Marché Crée avec status : APPARIÉ                                                                                     *Generation de MT548 au client</t>
  </si>
  <si>
    <t>Dénouement manuel de l'IRL RF</t>
  </si>
  <si>
    <t>IRL client crée avec status : DÉNOUÉ                                                                                        *IRL Marché Crée avec status : DÉNOUÉ                                                                                    *Les Mouvements en cours coté client et coté marché sont Impacté                                            *Generation de MT54Y au Client</t>
  </si>
  <si>
    <t>Script Name : Tranfert interne</t>
  </si>
  <si>
    <t>Description : Transfert compte à compte : pour un mm Custodian et mm Compte Nostro titres</t>
  </si>
  <si>
    <t>date du dénouement differente du business date</t>
  </si>
  <si>
    <t>Reception de MT540 ET MT542 avec 22F:SETR//OWNI</t>
  </si>
  <si>
    <t>Un transfert compte a compte et crée avec une jombe livraison et une jombe reception : 2 instructions client sont crée : la premiere de type ITDF : TRANSFERT INTERNE-LIVRAISON  et la deuxieme de type ITRF  TRANSFERT  INTERNE-RECEPTION  avec le status : “APPARIT” ,                             *Des mouvements en cours sent crée                                                                                    *Génération de MT548 au clients de chaque jambe,</t>
  </si>
  <si>
    <t>Dénouement Manuel a la date de dénouement</t>
  </si>
  <si>
    <t>*La jombe de livraison et la jombe de reception change de status : “DÉNOUÉ” ,                                    *Generation de MT544 pour le client de la jambe de reception,                                                             *Generation de MT546 pour le client de la jambe de retour,                                                            *Les Mouvements en Cour sont impacté ,</t>
  </si>
  <si>
    <t>Description : Transfert compte à compte : pour un mm Custodian et deux Compte Nostro titres Differents</t>
  </si>
  <si>
    <t>Reception de MT540 ET MT542 avec 22FSETR//OWNI</t>
  </si>
  <si>
    <t>Un transfert compte a compte et crée avec une jombe livraison et une jombe reception : 2 instructions client sont crée : la premiere de type ITDF : TRANSFERT INTERNE-LIVRAISON  et la deuxieme de type ITRF  TRANSFERT  INTERNE-RECEPTION  avec le status : “APPARIT” ,                             *Des mouvements en cours sent crée                                                                                        *Deux IRL Marché sont crée                                                                                               *Génération de MT548 au clients de chaque jambe,</t>
  </si>
  <si>
    <t>*La jombe de livraison et la jombe de reception change de status : “DÉNOUÉ” ,                                    *Les Mouvements en Cour sont impacté ,                                                                                      *Generation de MT544 pour le client de la jambe de reception,                                                             *Generation de MT546 pour le client de la jambe de retour,</t>
  </si>
  <si>
    <t>Script Name : Transfer externe</t>
  </si>
  <si>
    <t>Description : Transfert externe entre deux Comptes Titre Nostro differents</t>
  </si>
  <si>
    <t>Reception de deux MT54X avec 22F:: SETR//OWNE (MT540 ET MT542)</t>
  </si>
  <si>
    <t>IRL de la jambe de reception crée de type :ETRF - TRANSFERT EXTERNE-RECEPTION status : APPARIÉ                                                                                                                                        *IRL de la jambe de livraison crée  de type :ETDF - TRANSFERT EXTERNE-LIVRAISON status : APPARIÉ                                                                                                                          *L'appariement se déclanche automatiquement a la reception des MT54X                                        *Des Mouvements en cour sont crée                                                                                         *Génération de MT548</t>
  </si>
  <si>
    <t>*La jombe de livraison et la jombe de reception change de status : “DÉNOUÉ” ,                                    *Les Mouvements en Cour sont impacté ,                                                                                       *Generation de MT544 pour le client de la jambe de reception,                                                             *Generation de MT546 pour le client de la jambe de retour,</t>
  </si>
  <si>
    <t>Script Name : nantissement</t>
  </si>
  <si>
    <t>Description :</t>
  </si>
  <si>
    <t>Saisie Demandes de Nantissement</t>
  </si>
  <si>
    <t>*IRL Client de nantissement crée avec status “INSTRUIT”                                                                   *Pas d'IRL marché crée                                                                                                              *Les positions nanti sont blocké status : pledged</t>
  </si>
  <si>
    <t>Script Name : prêt / emprunt</t>
  </si>
  <si>
    <t>saisie d'IRL prêt/emprunt sans communication vers le dépositaire étranger</t>
  </si>
  <si>
    <t>IRL prêt/emprunt livraison crée avec status : INSTRUIT</t>
  </si>
  <si>
    <t>Appariement Manuel</t>
  </si>
  <si>
    <t>Status de l'IRL prêt/emprunt livraison change : APPARIÉ</t>
  </si>
  <si>
    <t>Dénouement Manuel</t>
  </si>
  <si>
    <t>Status de l'IRL prêt/emprunt livraison change : DÉNOUÉ                                                                     *Pas de génération d'avis client ,</t>
  </si>
  <si>
    <t>la sais manuelle des IRL de retour de prêt/emprunt apres le retour du prêt/emprunt</t>
  </si>
  <si>
    <t>IRL prêt/emprunt Retour crée avec status : INSTRUIT</t>
  </si>
  <si>
    <t>Status de l'IRL prêt/emprunt Retour change : APPARIÉ</t>
  </si>
  <si>
    <t>Status de l'IRL prêt/emprunt Retour change : DÉNOUÉ                                                                       *Pas de génération d'avis client ,</t>
  </si>
  <si>
    <t>Colonne A: Numéro
Colonne B: Nom de la feuille dans le fichier
Colonne C: Intitulé du script de test
Colonne D: Description brève du script de test
Colonne E: Domaine ou sous-domaine du script de test
Colonne F: Poids du domaine (ou sous-domaine) dans l'ensembe des scripts de test
Colonne G: Poids du scipt de test dans son domaine (ou sous-domaine) *
Colonne H: Lot ou sprint de livraison si applicable
Colonne J: Responsable de la rédaction du script
Colonne L: Responsable du déroulement du script (Itération 1)
Colonne N: Responsable du déroulement du script (Itération 2)
Colonne O: Avancement en pourcentage dans la rédaction du script
Colonne P: Avancement en pourcentage dans le déroulement du script (Itération 1)
Colonne Q: Avancement en pourcentage dans le déroulement du script (Itération 2)
Colonne R: Commentaire
Colonne S: ATS si applicable
Colonne T: Date de livraison si applicable
Colonne U: Estimation de la charge de la rédaction du script
Colonne I: champ déduit
Colonne K: champ déduit
Colonne M: champ déduit</t>
  </si>
  <si>
    <t>Responsible de la documentation</t>
  </si>
  <si>
    <t>Avancement de la Documentation</t>
  </si>
</sst>
</file>

<file path=xl/styles.xml><?xml version="1.0" encoding="utf-8"?>
<styleSheet xmlns="http://schemas.openxmlformats.org/spreadsheetml/2006/main">
  <numFmts count="3">
    <numFmt numFmtId="43" formatCode="_-* #,##0.00\ _€_-;\-* #,##0.00\ _€_-;_-* &quot;-&quot;??\ _€_-;_-@_-"/>
    <numFmt numFmtId="164" formatCode="0.000%"/>
    <numFmt numFmtId="165" formatCode="#,##0.000"/>
  </numFmts>
  <fonts count="14">
    <font>
      <sz val="10"/>
      <name val="Arial"/>
      <family val="2"/>
      <charset val="1"/>
    </font>
    <font>
      <sz val="10"/>
      <name val="Arial"/>
    </font>
    <font>
      <b/>
      <sz val="11"/>
      <color rgb="FF333399"/>
      <name val="Arial"/>
      <family val="2"/>
      <charset val="1"/>
    </font>
    <font>
      <b/>
      <sz val="10"/>
      <color rgb="FF333399"/>
      <name val="Arial"/>
      <family val="2"/>
      <charset val="1"/>
    </font>
    <font>
      <b/>
      <sz val="10"/>
      <name val="Arial"/>
      <family val="2"/>
      <charset val="1"/>
    </font>
    <font>
      <b/>
      <i/>
      <sz val="11"/>
      <name val="Arial"/>
      <family val="2"/>
      <charset val="1"/>
    </font>
    <font>
      <sz val="10"/>
      <color rgb="FF434343"/>
      <name val="Arial"/>
      <family val="2"/>
      <charset val="1"/>
    </font>
    <font>
      <sz val="14"/>
      <name val="Arial"/>
      <family val="2"/>
      <charset val="1"/>
    </font>
    <font>
      <sz val="10"/>
      <color rgb="FF376092"/>
      <name val="Arial"/>
      <family val="2"/>
      <charset val="1"/>
    </font>
    <font>
      <sz val="10"/>
      <color rgb="FF0070C0"/>
      <name val="Arial"/>
      <family val="2"/>
      <charset val="1"/>
    </font>
    <font>
      <b/>
      <sz val="10"/>
      <color rgb="FF376092"/>
      <name val="Arial"/>
      <family val="2"/>
      <charset val="1"/>
    </font>
    <font>
      <sz val="9"/>
      <color rgb="FF00000A"/>
      <name val="arial;tahoma"/>
      <charset val="1"/>
    </font>
    <font>
      <sz val="10"/>
      <color rgb="FF004586"/>
      <name val="Arial"/>
      <family val="2"/>
      <charset val="1"/>
    </font>
    <font>
      <sz val="11"/>
      <color rgb="FF004586"/>
      <name val="Arial"/>
      <family val="2"/>
      <charset val="1"/>
    </font>
  </fonts>
  <fills count="9">
    <fill>
      <patternFill patternType="none"/>
    </fill>
    <fill>
      <patternFill patternType="gray125"/>
    </fill>
    <fill>
      <patternFill patternType="solid">
        <fgColor rgb="FF8EB4E3"/>
        <bgColor rgb="FF8DB3E2"/>
      </patternFill>
    </fill>
    <fill>
      <patternFill patternType="solid">
        <fgColor rgb="FF6FA8DC"/>
        <bgColor rgb="FF8DB3E2"/>
      </patternFill>
    </fill>
    <fill>
      <patternFill patternType="solid">
        <fgColor rgb="FFA6A6A6"/>
        <bgColor rgb="FFB7B7B7"/>
      </patternFill>
    </fill>
    <fill>
      <patternFill patternType="solid">
        <fgColor rgb="FFFFFFFF"/>
        <bgColor rgb="FFFFFFCC"/>
      </patternFill>
    </fill>
    <fill>
      <patternFill patternType="solid">
        <fgColor rgb="FF548DD4"/>
        <bgColor rgb="FF6FA8DC"/>
      </patternFill>
    </fill>
    <fill>
      <patternFill patternType="solid">
        <fgColor rgb="FF8DB3E2"/>
        <bgColor rgb="FF8EB4E3"/>
      </patternFill>
    </fill>
    <fill>
      <patternFill patternType="solid">
        <fgColor rgb="FFB7B7B7"/>
        <bgColor rgb="FFA6A6A6"/>
      </patternFill>
    </fill>
  </fills>
  <borders count="5">
    <border>
      <left/>
      <right/>
      <top/>
      <bottom/>
      <diagonal/>
    </border>
    <border>
      <left style="hair">
        <color auto="1"/>
      </left>
      <right style="hair">
        <color auto="1"/>
      </right>
      <top style="hair">
        <color auto="1"/>
      </top>
      <bottom style="hair">
        <color auto="1"/>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Border="0" applyAlignment="0" applyProtection="0"/>
    <xf numFmtId="0" fontId="7" fillId="6" borderId="0" xfId="0" applyFont="1" applyFill="1" applyBorder="1" applyAlignment="1"/>
  </cellStyleXfs>
  <cellXfs count="81">
    <xf numFmtId="0" fontId="0" fillId="0" borderId="0" xfId="0"/>
    <xf numFmtId="0" fontId="7" fillId="2" borderId="2" xfId="2" applyFont="1" applyFill="1" applyBorder="1" applyAlignment="1"/>
    <xf numFmtId="0" fontId="7" fillId="7" borderId="0" xfId="2" applyFont="1" applyFill="1" applyBorder="1" applyAlignment="1"/>
    <xf numFmtId="0" fontId="7" fillId="6" borderId="0" xfId="2" applyFont="1" applyFill="1" applyBorder="1" applyAlignment="1"/>
    <xf numFmtId="0" fontId="0" fillId="0" borderId="0" xfId="0" applyBorder="1"/>
    <xf numFmtId="0" fontId="0" fillId="0" borderId="0" xfId="0" applyFont="1" applyBorder="1" applyAlignment="1">
      <alignment horizontal="center" vertical="center"/>
    </xf>
    <xf numFmtId="0" fontId="0" fillId="0" borderId="0" xfId="0" applyFont="1" applyBorder="1" applyAlignment="1"/>
    <xf numFmtId="9" fontId="0" fillId="0" borderId="0" xfId="0" applyNumberFormat="1" applyFont="1" applyBorder="1" applyAlignment="1"/>
    <xf numFmtId="0" fontId="0" fillId="0" borderId="0" xfId="0" applyFont="1" applyBorder="1"/>
    <xf numFmtId="9" fontId="0" fillId="0" borderId="0" xfId="0" applyNumberFormat="1" applyFont="1" applyBorder="1"/>
    <xf numFmtId="0" fontId="6" fillId="0" borderId="0" xfId="0" applyFont="1" applyBorder="1"/>
    <xf numFmtId="0" fontId="0" fillId="0" borderId="0" xfId="0" applyFont="1" applyBorder="1" applyAlignment="1">
      <alignment horizontal="center"/>
    </xf>
    <xf numFmtId="10" fontId="0" fillId="0" borderId="0" xfId="0" applyNumberFormat="1" applyFont="1" applyBorder="1" applyAlignment="1">
      <alignment horizontal="center" vertical="center"/>
    </xf>
    <xf numFmtId="164" fontId="0" fillId="0" borderId="0" xfId="0" applyNumberFormat="1" applyFont="1" applyBorder="1" applyAlignment="1">
      <alignment horizontal="center" vertical="center"/>
    </xf>
    <xf numFmtId="4" fontId="0" fillId="0" borderId="0" xfId="0" applyNumberFormat="1" applyFont="1" applyBorder="1" applyAlignment="1">
      <alignment horizontal="center" vertical="center"/>
    </xf>
    <xf numFmtId="0" fontId="0" fillId="5" borderId="0" xfId="0" applyFont="1" applyFill="1" applyBorder="1" applyAlignment="1">
      <alignment horizontal="center" vertical="center"/>
    </xf>
    <xf numFmtId="0" fontId="0" fillId="0" borderId="0" xfId="2"/>
    <xf numFmtId="0" fontId="7" fillId="0" borderId="0" xfId="2" applyFont="1" applyBorder="1" applyAlignment="1"/>
    <xf numFmtId="0" fontId="0" fillId="0" borderId="0" xfId="2" applyFont="1" applyBorder="1"/>
    <xf numFmtId="0" fontId="4" fillId="8" borderId="2" xfId="2" applyFont="1" applyFill="1" applyBorder="1" applyAlignment="1">
      <alignment vertical="center"/>
    </xf>
    <xf numFmtId="0" fontId="4" fillId="8" borderId="3" xfId="2" applyFont="1" applyFill="1" applyBorder="1" applyAlignment="1">
      <alignment vertical="center"/>
    </xf>
    <xf numFmtId="0" fontId="8" fillId="5" borderId="2" xfId="2" applyFont="1" applyFill="1" applyBorder="1" applyAlignment="1">
      <alignment vertical="top" wrapText="1"/>
    </xf>
    <xf numFmtId="0" fontId="9" fillId="5" borderId="2" xfId="2" applyFont="1" applyFill="1" applyBorder="1" applyAlignment="1">
      <alignment vertical="top" wrapText="1"/>
    </xf>
    <xf numFmtId="0" fontId="4" fillId="8" borderId="1" xfId="2" applyFont="1" applyFill="1" applyBorder="1" applyAlignment="1">
      <alignment vertical="center"/>
    </xf>
    <xf numFmtId="0" fontId="8" fillId="5" borderId="1" xfId="2" applyFont="1" applyFill="1" applyBorder="1" applyAlignment="1">
      <alignment vertical="top" wrapText="1"/>
    </xf>
    <xf numFmtId="0" fontId="8" fillId="5" borderId="2" xfId="2" applyFont="1" applyFill="1" applyBorder="1" applyAlignment="1">
      <alignment horizontal="left" vertical="top" wrapText="1"/>
    </xf>
    <xf numFmtId="0" fontId="8" fillId="0" borderId="0" xfId="2" applyFont="1" applyAlignment="1">
      <alignment wrapText="1"/>
    </xf>
    <xf numFmtId="0" fontId="12" fillId="0" borderId="0" xfId="2" applyFont="1" applyAlignment="1">
      <alignment wrapText="1"/>
    </xf>
    <xf numFmtId="0" fontId="12" fillId="0" borderId="0" xfId="2" applyFont="1"/>
    <xf numFmtId="0" fontId="13" fillId="5" borderId="2" xfId="2" applyFont="1" applyFill="1" applyBorder="1" applyAlignment="1">
      <alignment vertical="top" wrapText="1"/>
    </xf>
    <xf numFmtId="0" fontId="0" fillId="0" borderId="0" xfId="2" applyFont="1"/>
    <xf numFmtId="0" fontId="0" fillId="0" borderId="0" xfId="0" applyFont="1" applyBorder="1" applyAlignment="1">
      <alignment horizontal="left" vertical="top" wrapText="1"/>
    </xf>
    <xf numFmtId="0" fontId="2"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10" fontId="3" fillId="2" borderId="4" xfId="0" applyNumberFormat="1" applyFont="1" applyFill="1" applyBorder="1" applyAlignment="1">
      <alignment horizontal="center" vertical="center" wrapText="1"/>
    </xf>
    <xf numFmtId="164" fontId="3" fillId="2" borderId="4" xfId="0" applyNumberFormat="1" applyFont="1" applyFill="1" applyBorder="1" applyAlignment="1">
      <alignment horizontal="center" vertical="center" wrapText="1"/>
    </xf>
    <xf numFmtId="4" fontId="3" fillId="2" borderId="4" xfId="0" applyNumberFormat="1" applyFont="1" applyFill="1" applyBorder="1" applyAlignment="1">
      <alignment horizontal="center" vertical="center" wrapText="1"/>
    </xf>
    <xf numFmtId="0" fontId="4" fillId="3" borderId="4" xfId="0" applyFont="1" applyFill="1" applyBorder="1" applyAlignment="1">
      <alignment horizontal="left" vertical="center"/>
    </xf>
    <xf numFmtId="0" fontId="0" fillId="3" borderId="4" xfId="0" applyFont="1" applyFill="1" applyBorder="1" applyAlignment="1"/>
    <xf numFmtId="0" fontId="0" fillId="3" borderId="4" xfId="0" applyFont="1" applyFill="1" applyBorder="1" applyAlignment="1">
      <alignment horizontal="center"/>
    </xf>
    <xf numFmtId="0" fontId="0" fillId="3" borderId="4" xfId="0" applyFont="1" applyFill="1" applyBorder="1" applyAlignment="1">
      <alignment horizontal="center" vertical="center"/>
    </xf>
    <xf numFmtId="10" fontId="0" fillId="3" borderId="4" xfId="0" applyNumberFormat="1" applyFont="1" applyFill="1" applyBorder="1" applyAlignment="1">
      <alignment horizontal="center" vertical="center"/>
    </xf>
    <xf numFmtId="164" fontId="0" fillId="3" borderId="4" xfId="0" applyNumberFormat="1" applyFont="1" applyFill="1" applyBorder="1" applyAlignment="1">
      <alignment horizontal="center" vertical="center"/>
    </xf>
    <xf numFmtId="4" fontId="0" fillId="3" borderId="4" xfId="0" applyNumberFormat="1" applyFont="1" applyFill="1" applyBorder="1" applyAlignment="1">
      <alignment horizontal="center" vertical="center"/>
    </xf>
    <xf numFmtId="0" fontId="5" fillId="4" borderId="4" xfId="0" applyFont="1" applyFill="1" applyBorder="1" applyAlignment="1">
      <alignment horizontal="left" vertical="center"/>
    </xf>
    <xf numFmtId="0" fontId="5" fillId="4" borderId="4" xfId="0" applyFont="1" applyFill="1" applyBorder="1" applyAlignment="1">
      <alignment horizontal="left"/>
    </xf>
    <xf numFmtId="0" fontId="0" fillId="4" borderId="4" xfId="0" applyFont="1" applyFill="1" applyBorder="1" applyAlignment="1"/>
    <xf numFmtId="0" fontId="0" fillId="4" borderId="4" xfId="0" applyFont="1" applyFill="1" applyBorder="1" applyAlignment="1">
      <alignment horizontal="center"/>
    </xf>
    <xf numFmtId="0" fontId="0" fillId="4" borderId="4" xfId="0" applyFont="1" applyFill="1" applyBorder="1" applyAlignment="1">
      <alignment horizontal="center" vertical="center"/>
    </xf>
    <xf numFmtId="10" fontId="0" fillId="4" borderId="4" xfId="0" applyNumberFormat="1" applyFont="1" applyFill="1" applyBorder="1" applyAlignment="1">
      <alignment horizontal="center" vertical="center"/>
    </xf>
    <xf numFmtId="164" fontId="0" fillId="4" borderId="4" xfId="0" applyNumberFormat="1" applyFont="1" applyFill="1" applyBorder="1" applyAlignment="1">
      <alignment horizontal="center" vertical="center"/>
    </xf>
    <xf numFmtId="4" fontId="0" fillId="4" borderId="4" xfId="0" applyNumberFormat="1" applyFont="1" applyFill="1" applyBorder="1" applyAlignment="1">
      <alignment horizontal="center" vertical="center"/>
    </xf>
    <xf numFmtId="0" fontId="0" fillId="5" borderId="4" xfId="0" applyFont="1" applyFill="1" applyBorder="1" applyAlignment="1">
      <alignment horizontal="center"/>
    </xf>
    <xf numFmtId="0" fontId="0" fillId="5" borderId="4" xfId="0" applyFont="1" applyFill="1" applyBorder="1" applyAlignment="1"/>
    <xf numFmtId="0" fontId="0" fillId="5" borderId="4" xfId="0" applyFont="1" applyFill="1" applyBorder="1" applyAlignment="1">
      <alignment wrapText="1"/>
    </xf>
    <xf numFmtId="0" fontId="0" fillId="5" borderId="4" xfId="0" applyFont="1" applyFill="1" applyBorder="1" applyAlignment="1">
      <alignment horizontal="center" vertical="center"/>
    </xf>
    <xf numFmtId="9" fontId="0" fillId="5" borderId="4" xfId="0" applyNumberFormat="1" applyFont="1" applyFill="1" applyBorder="1" applyAlignment="1">
      <alignment horizontal="center" vertical="center"/>
    </xf>
    <xf numFmtId="9" fontId="0" fillId="5" borderId="4" xfId="0" applyNumberFormat="1" applyFont="1" applyFill="1" applyBorder="1" applyAlignment="1">
      <alignment horizontal="center" vertical="center"/>
    </xf>
    <xf numFmtId="0" fontId="0" fillId="5" borderId="4" xfId="0" applyFont="1" applyFill="1" applyBorder="1" applyAlignment="1">
      <alignment horizontal="center" vertical="center"/>
    </xf>
    <xf numFmtId="10" fontId="0" fillId="5" borderId="4" xfId="0" applyNumberFormat="1" applyFont="1" applyFill="1" applyBorder="1" applyAlignment="1">
      <alignment horizontal="center" vertical="center"/>
    </xf>
    <xf numFmtId="9" fontId="0" fillId="0" borderId="4" xfId="0" applyNumberFormat="1" applyFont="1" applyBorder="1" applyAlignment="1">
      <alignment horizontal="center" vertical="center"/>
    </xf>
    <xf numFmtId="164" fontId="0" fillId="5" borderId="4" xfId="0" applyNumberFormat="1" applyFont="1" applyFill="1" applyBorder="1" applyAlignment="1">
      <alignment horizontal="center" vertical="center"/>
    </xf>
    <xf numFmtId="0" fontId="0" fillId="0" borderId="4" xfId="0" applyFont="1" applyBorder="1" applyAlignment="1">
      <alignment horizontal="center" vertical="center"/>
    </xf>
    <xf numFmtId="165" fontId="0" fillId="5" borderId="4" xfId="0" applyNumberFormat="1" applyFont="1" applyFill="1" applyBorder="1" applyAlignment="1">
      <alignment horizontal="center" vertical="center"/>
    </xf>
    <xf numFmtId="9" fontId="6" fillId="5" borderId="4" xfId="0" applyNumberFormat="1" applyFont="1" applyFill="1" applyBorder="1" applyAlignment="1">
      <alignment horizontal="center" vertical="center"/>
    </xf>
    <xf numFmtId="10" fontId="6" fillId="5" borderId="4" xfId="0" applyNumberFormat="1" applyFont="1" applyFill="1" applyBorder="1" applyAlignment="1">
      <alignment horizontal="center" vertical="center"/>
    </xf>
    <xf numFmtId="164" fontId="6" fillId="5" borderId="4" xfId="0" applyNumberFormat="1" applyFont="1" applyFill="1" applyBorder="1" applyAlignment="1">
      <alignment horizontal="center" vertical="center"/>
    </xf>
    <xf numFmtId="0" fontId="6" fillId="5" borderId="4" xfId="0" applyFont="1" applyFill="1" applyBorder="1" applyAlignment="1">
      <alignment horizontal="center" vertical="center"/>
    </xf>
    <xf numFmtId="165" fontId="6" fillId="5" borderId="4" xfId="0" applyNumberFormat="1" applyFont="1" applyFill="1" applyBorder="1" applyAlignment="1">
      <alignment horizontal="center" vertical="center"/>
    </xf>
    <xf numFmtId="10" fontId="0" fillId="0" borderId="4" xfId="0" applyNumberFormat="1" applyFont="1" applyBorder="1" applyAlignment="1">
      <alignment horizontal="center" vertical="center"/>
    </xf>
    <xf numFmtId="164" fontId="0" fillId="0" borderId="4" xfId="0" applyNumberFormat="1" applyFont="1" applyBorder="1" applyAlignment="1">
      <alignment horizontal="center" vertical="center"/>
    </xf>
    <xf numFmtId="165" fontId="0" fillId="0" borderId="4" xfId="0" applyNumberFormat="1" applyFont="1" applyBorder="1" applyAlignment="1">
      <alignment horizontal="center" vertical="center"/>
    </xf>
    <xf numFmtId="4" fontId="0" fillId="0" borderId="4" xfId="0" applyNumberFormat="1" applyFont="1" applyBorder="1" applyAlignment="1">
      <alignment horizontal="center" vertical="center"/>
    </xf>
    <xf numFmtId="0" fontId="0" fillId="5" borderId="4" xfId="0" applyFont="1" applyFill="1" applyBorder="1" applyAlignment="1">
      <alignment horizontal="justify" vertical="center"/>
    </xf>
    <xf numFmtId="0" fontId="0" fillId="0" borderId="4" xfId="0" applyFont="1" applyBorder="1" applyAlignment="1">
      <alignment horizontal="center"/>
    </xf>
    <xf numFmtId="0" fontId="0" fillId="0" borderId="4" xfId="0" applyFont="1" applyBorder="1" applyAlignment="1">
      <alignment horizontal="justify" vertical="center"/>
    </xf>
    <xf numFmtId="9" fontId="0" fillId="0" borderId="4" xfId="0" applyNumberFormat="1" applyBorder="1" applyAlignment="1">
      <alignment horizontal="center" vertical="center"/>
    </xf>
    <xf numFmtId="0" fontId="0" fillId="5" borderId="4" xfId="0" applyFont="1" applyFill="1" applyBorder="1" applyAlignment="1">
      <alignment horizontal="justify"/>
    </xf>
    <xf numFmtId="0" fontId="0" fillId="0" borderId="4" xfId="0" applyFont="1" applyBorder="1" applyAlignment="1">
      <alignment horizontal="center" vertical="center"/>
    </xf>
    <xf numFmtId="9" fontId="0" fillId="0" borderId="4" xfId="0" applyNumberFormat="1" applyBorder="1" applyAlignment="1">
      <alignment horizontal="center" vertical="center"/>
    </xf>
    <xf numFmtId="9" fontId="0" fillId="0" borderId="4" xfId="0" applyNumberFormat="1" applyFont="1" applyBorder="1" applyAlignment="1">
      <alignment horizontal="center" vertical="center"/>
    </xf>
  </cellXfs>
  <cellStyles count="3">
    <cellStyle name="Comma" xfId="1" builtinId="3"/>
    <cellStyle name="Normal" xfId="0" builtinId="0"/>
    <cellStyle name="TableStyleLight1" xfId="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0A"/>
      <rgbColor rgb="00808000"/>
      <rgbColor rgb="00800080"/>
      <rgbColor rgb="00008080"/>
      <rgbColor rgb="00B7B7B7"/>
      <rgbColor rgb="00808080"/>
      <rgbColor rgb="008DB3E2"/>
      <rgbColor rgb="00993366"/>
      <rgbColor rgb="00FFFFCC"/>
      <rgbColor rgb="00CCFFFF"/>
      <rgbColor rgb="00660066"/>
      <rgbColor rgb="00FF8080"/>
      <rgbColor rgb="000070C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8EB4E3"/>
      <rgbColor rgb="00FF99CC"/>
      <rgbColor rgb="00CC99FF"/>
      <rgbColor rgb="00FFCC99"/>
      <rgbColor rgb="00548DD4"/>
      <rgbColor rgb="006FA8DC"/>
      <rgbColor rgb="0099CC00"/>
      <rgbColor rgb="00FFCC00"/>
      <rgbColor rgb="00FF9900"/>
      <rgbColor rgb="00FF6600"/>
      <rgbColor rgb="00376092"/>
      <rgbColor rgb="00A6A6A6"/>
      <rgbColor rgb="00004586"/>
      <rgbColor rgb="00339966"/>
      <rgbColor rgb="00003300"/>
      <rgbColor rgb="00333300"/>
      <rgbColor rgb="00993300"/>
      <rgbColor rgb="00993366"/>
      <rgbColor rgb="00333399"/>
      <rgbColor rgb="0043434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63"/>
  <sheetViews>
    <sheetView tabSelected="1" zoomScale="80" zoomScaleNormal="80" workbookViewId="0">
      <pane xSplit="5" ySplit="7" topLeftCell="F8" activePane="bottomRight" state="frozen"/>
      <selection pane="topRight" activeCell="F1" sqref="F1"/>
      <selection pane="bottomLeft" activeCell="A8" sqref="A8"/>
      <selection pane="bottomRight"/>
    </sheetView>
  </sheetViews>
  <sheetFormatPr defaultRowHeight="15"/>
  <cols>
    <col min="2" max="2" width="20.85546875" customWidth="1"/>
    <col min="3" max="3" width="25.42578125" customWidth="1"/>
    <col min="4" max="4" width="48.85546875" customWidth="1"/>
    <col min="5" max="5" width="21.140625" customWidth="1"/>
    <col min="6" max="6" width="14" customWidth="1"/>
    <col min="7" max="7" width="15.140625" customWidth="1"/>
    <col min="9" max="10" width="15.85546875" customWidth="1"/>
    <col min="11" max="11" width="17" customWidth="1"/>
    <col min="12" max="12" width="13.5703125" customWidth="1"/>
    <col min="13" max="13" width="14.140625" customWidth="1"/>
    <col min="14" max="14" width="15.7109375" customWidth="1"/>
    <col min="15" max="15" width="14.85546875" customWidth="1"/>
    <col min="16" max="16" width="13.5703125" customWidth="1"/>
    <col min="17" max="17" width="16.42578125" customWidth="1"/>
    <col min="20" max="20" width="11.7109375" customWidth="1"/>
    <col min="21" max="21" width="16.42578125" customWidth="1"/>
  </cols>
  <sheetData>
    <row r="1" spans="1:26" ht="60" customHeight="1">
      <c r="A1" s="32" t="s">
        <v>0</v>
      </c>
      <c r="B1" s="32" t="s">
        <v>1</v>
      </c>
      <c r="C1" s="33" t="s">
        <v>2</v>
      </c>
      <c r="D1" s="33" t="s">
        <v>3</v>
      </c>
      <c r="E1" s="33" t="s">
        <v>4</v>
      </c>
      <c r="F1" s="33" t="s">
        <v>5</v>
      </c>
      <c r="G1" s="33" t="s">
        <v>6</v>
      </c>
      <c r="H1" s="33" t="s">
        <v>7</v>
      </c>
      <c r="I1" s="34" t="s">
        <v>8</v>
      </c>
      <c r="J1" s="33" t="s">
        <v>430</v>
      </c>
      <c r="K1" s="33" t="s">
        <v>431</v>
      </c>
      <c r="L1" s="35" t="s">
        <v>9</v>
      </c>
      <c r="M1" s="33" t="s">
        <v>10</v>
      </c>
      <c r="N1" s="33" t="s">
        <v>11</v>
      </c>
      <c r="O1" s="35" t="s">
        <v>12</v>
      </c>
      <c r="P1" s="33" t="s">
        <v>13</v>
      </c>
      <c r="Q1" s="33" t="s">
        <v>14</v>
      </c>
      <c r="R1" s="33" t="s">
        <v>15</v>
      </c>
      <c r="S1" s="33" t="s">
        <v>16</v>
      </c>
      <c r="T1" s="33" t="s">
        <v>17</v>
      </c>
      <c r="U1" s="36" t="s">
        <v>18</v>
      </c>
      <c r="V1" s="5"/>
      <c r="W1" s="5"/>
      <c r="X1" s="5"/>
      <c r="Y1" s="5"/>
      <c r="Z1" s="5"/>
    </row>
    <row r="2" spans="1:26" ht="12.75">
      <c r="A2" s="37" t="s">
        <v>19</v>
      </c>
      <c r="B2" s="37"/>
      <c r="C2" s="37"/>
      <c r="D2" s="38"/>
      <c r="E2" s="38"/>
      <c r="F2" s="39"/>
      <c r="G2" s="40"/>
      <c r="H2" s="40"/>
      <c r="I2" s="41"/>
      <c r="J2" s="41"/>
      <c r="K2" s="40"/>
      <c r="L2" s="42"/>
      <c r="M2" s="42"/>
      <c r="N2" s="40"/>
      <c r="O2" s="40"/>
      <c r="P2" s="40"/>
      <c r="Q2" s="40"/>
      <c r="R2" s="40"/>
      <c r="S2" s="40"/>
      <c r="T2" s="40"/>
      <c r="U2" s="43"/>
      <c r="V2" s="6"/>
      <c r="W2" s="6"/>
      <c r="X2" s="7"/>
      <c r="Y2" s="7"/>
      <c r="Z2" s="6"/>
    </row>
    <row r="3" spans="1:26" ht="14.25">
      <c r="A3" s="44" t="s">
        <v>20</v>
      </c>
      <c r="B3" s="44"/>
      <c r="C3" s="44"/>
      <c r="D3" s="45"/>
      <c r="E3" s="46"/>
      <c r="F3" s="47"/>
      <c r="G3" s="48"/>
      <c r="H3" s="48"/>
      <c r="I3" s="49"/>
      <c r="J3" s="49"/>
      <c r="K3" s="48"/>
      <c r="L3" s="50"/>
      <c r="M3" s="50"/>
      <c r="N3" s="48"/>
      <c r="O3" s="48"/>
      <c r="P3" s="48"/>
      <c r="Q3" s="48"/>
      <c r="R3" s="48"/>
      <c r="S3" s="48"/>
      <c r="T3" s="48"/>
      <c r="U3" s="51"/>
      <c r="V3" s="6"/>
      <c r="W3" s="6"/>
      <c r="X3" s="7"/>
      <c r="Y3" s="7"/>
      <c r="Z3" s="6"/>
    </row>
    <row r="4" spans="1:26" ht="25.5">
      <c r="A4" s="52">
        <v>1</v>
      </c>
      <c r="B4" s="53" t="s">
        <v>21</v>
      </c>
      <c r="C4" s="54" t="s">
        <v>22</v>
      </c>
      <c r="D4" s="54" t="s">
        <v>23</v>
      </c>
      <c r="E4" s="55" t="s">
        <v>24</v>
      </c>
      <c r="F4" s="56">
        <v>0.2</v>
      </c>
      <c r="G4" s="57">
        <v>0.06</v>
      </c>
      <c r="H4" s="58" t="s">
        <v>25</v>
      </c>
      <c r="I4" s="59">
        <f>F4*G4*K4</f>
        <v>1.2E-2</v>
      </c>
      <c r="J4" s="59"/>
      <c r="K4" s="60">
        <v>1</v>
      </c>
      <c r="L4" s="61">
        <f>F4*G4*N4</f>
        <v>0</v>
      </c>
      <c r="M4" s="61"/>
      <c r="N4" s="60">
        <v>0</v>
      </c>
      <c r="O4" s="57">
        <f>F4*G4*Q4</f>
        <v>0</v>
      </c>
      <c r="P4" s="57"/>
      <c r="Q4" s="60">
        <v>0</v>
      </c>
      <c r="R4" s="62"/>
      <c r="S4" s="58"/>
      <c r="T4" s="58"/>
      <c r="U4" s="63">
        <v>0.125</v>
      </c>
      <c r="V4" s="8"/>
      <c r="W4" s="8"/>
      <c r="X4" s="8"/>
      <c r="Y4" s="8"/>
      <c r="Z4" s="8"/>
    </row>
    <row r="5" spans="1:26" ht="25.5">
      <c r="A5" s="52">
        <v>2</v>
      </c>
      <c r="B5" s="53" t="s">
        <v>26</v>
      </c>
      <c r="C5" s="54" t="s">
        <v>27</v>
      </c>
      <c r="D5" s="54" t="s">
        <v>28</v>
      </c>
      <c r="E5" s="55"/>
      <c r="F5" s="56"/>
      <c r="G5" s="57">
        <v>0.06</v>
      </c>
      <c r="H5" s="58" t="s">
        <v>25</v>
      </c>
      <c r="I5" s="59">
        <f>F4*G5*K5</f>
        <v>1.2E-2</v>
      </c>
      <c r="J5" s="59"/>
      <c r="K5" s="60">
        <v>1</v>
      </c>
      <c r="L5" s="61">
        <f>F4*G5*N5</f>
        <v>0</v>
      </c>
      <c r="M5" s="61"/>
      <c r="N5" s="60">
        <v>0</v>
      </c>
      <c r="O5" s="57">
        <f>F4*G5*Q5</f>
        <v>0</v>
      </c>
      <c r="P5" s="57"/>
      <c r="Q5" s="60">
        <v>0</v>
      </c>
      <c r="R5" s="62"/>
      <c r="S5" s="58"/>
      <c r="T5" s="58"/>
      <c r="U5" s="63">
        <v>0.125</v>
      </c>
      <c r="V5" s="8"/>
      <c r="W5" s="8"/>
      <c r="X5" s="8"/>
      <c r="Y5" s="9"/>
      <c r="Z5" s="8"/>
    </row>
    <row r="6" spans="1:26" ht="12.75">
      <c r="A6" s="52">
        <v>3</v>
      </c>
      <c r="B6" s="53" t="s">
        <v>29</v>
      </c>
      <c r="C6" s="54" t="s">
        <v>30</v>
      </c>
      <c r="D6" s="54" t="s">
        <v>31</v>
      </c>
      <c r="E6" s="55"/>
      <c r="F6" s="56"/>
      <c r="G6" s="57">
        <v>0.06</v>
      </c>
      <c r="H6" s="58" t="s">
        <v>25</v>
      </c>
      <c r="I6" s="59">
        <f>F4*G6*K6</f>
        <v>1.2E-2</v>
      </c>
      <c r="J6" s="59"/>
      <c r="K6" s="60">
        <v>1</v>
      </c>
      <c r="L6" s="61">
        <f>F4*G6*N6</f>
        <v>0</v>
      </c>
      <c r="M6" s="61"/>
      <c r="N6" s="60">
        <v>0</v>
      </c>
      <c r="O6" s="57">
        <f>F4*G6*Q6</f>
        <v>0</v>
      </c>
      <c r="P6" s="57"/>
      <c r="Q6" s="60">
        <v>0</v>
      </c>
      <c r="R6" s="62"/>
      <c r="S6" s="58"/>
      <c r="T6" s="58"/>
      <c r="U6" s="63">
        <v>0.125</v>
      </c>
      <c r="V6" s="8"/>
      <c r="W6" s="8"/>
      <c r="X6" s="8"/>
      <c r="Y6" s="9"/>
      <c r="Z6" s="8"/>
    </row>
    <row r="7" spans="1:26" ht="25.5">
      <c r="A7" s="52">
        <v>4</v>
      </c>
      <c r="B7" s="53" t="s">
        <v>32</v>
      </c>
      <c r="C7" s="54" t="s">
        <v>30</v>
      </c>
      <c r="D7" s="54" t="s">
        <v>33</v>
      </c>
      <c r="E7" s="55"/>
      <c r="F7" s="56"/>
      <c r="G7" s="57">
        <v>0.06</v>
      </c>
      <c r="H7" s="58" t="s">
        <v>25</v>
      </c>
      <c r="I7" s="59">
        <f>F4*G7*K7</f>
        <v>1.2E-2</v>
      </c>
      <c r="J7" s="59"/>
      <c r="K7" s="60">
        <v>1</v>
      </c>
      <c r="L7" s="61">
        <f>F4*G7*N7</f>
        <v>0</v>
      </c>
      <c r="M7" s="61"/>
      <c r="N7" s="60">
        <v>0</v>
      </c>
      <c r="O7" s="57">
        <f>F4*G7*Q7</f>
        <v>0</v>
      </c>
      <c r="P7" s="57"/>
      <c r="Q7" s="60">
        <v>0</v>
      </c>
      <c r="R7" s="62"/>
      <c r="S7" s="58"/>
      <c r="T7" s="58"/>
      <c r="U7" s="63">
        <v>0.125</v>
      </c>
      <c r="V7" s="8"/>
      <c r="W7" s="8"/>
      <c r="X7" s="8"/>
      <c r="Y7" s="8"/>
      <c r="Z7" s="8"/>
    </row>
    <row r="8" spans="1:26" ht="25.5">
      <c r="A8" s="52">
        <v>5</v>
      </c>
      <c r="B8" s="53" t="s">
        <v>34</v>
      </c>
      <c r="C8" s="54" t="s">
        <v>35</v>
      </c>
      <c r="D8" s="54" t="s">
        <v>36</v>
      </c>
      <c r="E8" s="55"/>
      <c r="F8" s="56"/>
      <c r="G8" s="57">
        <v>0.06</v>
      </c>
      <c r="H8" s="58" t="s">
        <v>25</v>
      </c>
      <c r="I8" s="59">
        <f>F4*G8*K8</f>
        <v>1.2E-2</v>
      </c>
      <c r="J8" s="59"/>
      <c r="K8" s="60">
        <v>1</v>
      </c>
      <c r="L8" s="61">
        <f>F8*G8*N8</f>
        <v>0</v>
      </c>
      <c r="M8" s="61"/>
      <c r="N8" s="60">
        <v>0</v>
      </c>
      <c r="O8" s="57">
        <f>F8*G8*Q8</f>
        <v>0</v>
      </c>
      <c r="P8" s="57"/>
      <c r="Q8" s="60">
        <v>0</v>
      </c>
      <c r="R8" s="57"/>
      <c r="S8" s="57"/>
      <c r="T8" s="57"/>
      <c r="U8" s="63">
        <v>0.125</v>
      </c>
      <c r="V8" s="8"/>
      <c r="W8" s="8"/>
      <c r="X8" s="8"/>
      <c r="Y8" s="8"/>
      <c r="Z8" s="8"/>
    </row>
    <row r="9" spans="1:26" ht="12.75">
      <c r="A9" s="52">
        <v>6</v>
      </c>
      <c r="B9" s="53" t="s">
        <v>37</v>
      </c>
      <c r="C9" s="54" t="s">
        <v>35</v>
      </c>
      <c r="D9" s="54" t="s">
        <v>38</v>
      </c>
      <c r="E9" s="55"/>
      <c r="F9" s="56"/>
      <c r="G9" s="64">
        <v>0.06</v>
      </c>
      <c r="H9" s="58" t="s">
        <v>25</v>
      </c>
      <c r="I9" s="65">
        <f>F4*G9*K9</f>
        <v>1.2E-2</v>
      </c>
      <c r="J9" s="65"/>
      <c r="K9" s="60">
        <v>1</v>
      </c>
      <c r="L9" s="66">
        <f>F8*G9*N9</f>
        <v>0</v>
      </c>
      <c r="M9" s="66"/>
      <c r="N9" s="60">
        <v>0</v>
      </c>
      <c r="O9" s="64">
        <f>F8*G9*Q9</f>
        <v>0</v>
      </c>
      <c r="P9" s="64"/>
      <c r="Q9" s="60">
        <v>0</v>
      </c>
      <c r="R9" s="64"/>
      <c r="S9" s="67"/>
      <c r="T9" s="64"/>
      <c r="U9" s="68">
        <v>0.125</v>
      </c>
      <c r="V9" s="10"/>
      <c r="W9" s="10"/>
      <c r="X9" s="10"/>
      <c r="Y9" s="10"/>
      <c r="Z9" s="10"/>
    </row>
    <row r="10" spans="1:26" ht="25.5">
      <c r="A10" s="52">
        <v>7</v>
      </c>
      <c r="B10" s="53" t="s">
        <v>39</v>
      </c>
      <c r="C10" s="54" t="s">
        <v>35</v>
      </c>
      <c r="D10" s="54" t="s">
        <v>40</v>
      </c>
      <c r="E10" s="55"/>
      <c r="F10" s="56"/>
      <c r="G10" s="57">
        <v>0.06</v>
      </c>
      <c r="H10" s="58" t="s">
        <v>25</v>
      </c>
      <c r="I10" s="59">
        <f>F4*G10*K10</f>
        <v>1.2E-2</v>
      </c>
      <c r="J10" s="59"/>
      <c r="K10" s="60">
        <v>1</v>
      </c>
      <c r="L10" s="61">
        <f>F8*G10*N10</f>
        <v>0</v>
      </c>
      <c r="M10" s="61"/>
      <c r="N10" s="60">
        <v>0</v>
      </c>
      <c r="O10" s="57">
        <f>F8*G10*Q10</f>
        <v>0</v>
      </c>
      <c r="P10" s="57"/>
      <c r="Q10" s="60">
        <v>0</v>
      </c>
      <c r="R10" s="57"/>
      <c r="S10" s="58"/>
      <c r="T10" s="57"/>
      <c r="U10" s="63">
        <v>0.125</v>
      </c>
      <c r="V10" s="8"/>
      <c r="W10" s="8"/>
      <c r="X10" s="8"/>
      <c r="Y10" s="8"/>
      <c r="Z10" s="8"/>
    </row>
    <row r="11" spans="1:26" ht="25.5">
      <c r="A11" s="52">
        <v>8</v>
      </c>
      <c r="B11" s="53" t="s">
        <v>41</v>
      </c>
      <c r="C11" s="54" t="s">
        <v>42</v>
      </c>
      <c r="D11" s="54" t="s">
        <v>43</v>
      </c>
      <c r="E11" s="55"/>
      <c r="F11" s="56"/>
      <c r="G11" s="57">
        <v>0.06</v>
      </c>
      <c r="H11" s="58" t="s">
        <v>25</v>
      </c>
      <c r="I11" s="59">
        <f>F4*G11*K11</f>
        <v>1.2E-2</v>
      </c>
      <c r="J11" s="59"/>
      <c r="K11" s="60">
        <v>1</v>
      </c>
      <c r="L11" s="61">
        <f>F8*G11*N11</f>
        <v>0</v>
      </c>
      <c r="M11" s="61"/>
      <c r="N11" s="60">
        <v>0</v>
      </c>
      <c r="O11" s="57">
        <f>F8*G11*Q11</f>
        <v>0</v>
      </c>
      <c r="P11" s="57"/>
      <c r="Q11" s="60">
        <v>0</v>
      </c>
      <c r="R11" s="57"/>
      <c r="S11" s="57"/>
      <c r="T11" s="57"/>
      <c r="U11" s="63">
        <v>0.125</v>
      </c>
      <c r="V11" s="8"/>
      <c r="W11" s="8"/>
      <c r="X11" s="8"/>
      <c r="Y11" s="8"/>
      <c r="Z11" s="8"/>
    </row>
    <row r="12" spans="1:26" ht="12.75">
      <c r="A12" s="52">
        <v>9</v>
      </c>
      <c r="B12" s="53" t="s">
        <v>44</v>
      </c>
      <c r="C12" s="54" t="s">
        <v>45</v>
      </c>
      <c r="D12" s="54" t="s">
        <v>46</v>
      </c>
      <c r="E12" s="55"/>
      <c r="F12" s="56"/>
      <c r="G12" s="60">
        <v>0.06</v>
      </c>
      <c r="H12" s="58" t="s">
        <v>25</v>
      </c>
      <c r="I12" s="69">
        <f>F4*G12*K12</f>
        <v>1.2E-2</v>
      </c>
      <c r="J12" s="69"/>
      <c r="K12" s="60">
        <v>1</v>
      </c>
      <c r="L12" s="70">
        <f>F8*G12*N12</f>
        <v>0</v>
      </c>
      <c r="M12" s="70"/>
      <c r="N12" s="60">
        <v>0</v>
      </c>
      <c r="O12" s="60">
        <f>F8*G12*Q12</f>
        <v>0</v>
      </c>
      <c r="P12" s="60"/>
      <c r="Q12" s="60">
        <v>0</v>
      </c>
      <c r="R12" s="60"/>
      <c r="S12" s="60"/>
      <c r="T12" s="60"/>
      <c r="U12" s="71">
        <v>0.125</v>
      </c>
      <c r="V12" s="8"/>
      <c r="W12" s="8"/>
      <c r="X12" s="8"/>
      <c r="Y12" s="8"/>
      <c r="Z12" s="8"/>
    </row>
    <row r="13" spans="1:26" ht="25.5">
      <c r="A13" s="52">
        <v>10</v>
      </c>
      <c r="B13" s="53" t="s">
        <v>47</v>
      </c>
      <c r="C13" s="54" t="s">
        <v>48</v>
      </c>
      <c r="D13" s="54" t="s">
        <v>49</v>
      </c>
      <c r="E13" s="55"/>
      <c r="F13" s="56"/>
      <c r="G13" s="60">
        <v>0.06</v>
      </c>
      <c r="H13" s="58" t="s">
        <v>25</v>
      </c>
      <c r="I13" s="69">
        <f>F4*G13*K13</f>
        <v>1.2E-2</v>
      </c>
      <c r="J13" s="69"/>
      <c r="K13" s="60">
        <v>1</v>
      </c>
      <c r="L13" s="70">
        <f>F8*G13*N13</f>
        <v>0</v>
      </c>
      <c r="M13" s="70"/>
      <c r="N13" s="60">
        <v>0</v>
      </c>
      <c r="O13" s="60">
        <f>F8*G13*Q13</f>
        <v>0</v>
      </c>
      <c r="P13" s="60"/>
      <c r="Q13" s="60">
        <v>0</v>
      </c>
      <c r="R13" s="60"/>
      <c r="S13" s="60"/>
      <c r="T13" s="60"/>
      <c r="U13" s="71">
        <v>0.125</v>
      </c>
      <c r="V13" s="8"/>
      <c r="W13" s="8"/>
      <c r="X13" s="8"/>
      <c r="Y13" s="8"/>
      <c r="Z13" s="8"/>
    </row>
    <row r="14" spans="1:26" ht="25.5">
      <c r="A14" s="52">
        <v>11</v>
      </c>
      <c r="B14" s="53" t="s">
        <v>50</v>
      </c>
      <c r="C14" s="54" t="s">
        <v>51</v>
      </c>
      <c r="D14" s="54" t="s">
        <v>52</v>
      </c>
      <c r="E14" s="55"/>
      <c r="F14" s="56"/>
      <c r="G14" s="60">
        <v>0.06</v>
      </c>
      <c r="H14" s="58" t="s">
        <v>25</v>
      </c>
      <c r="I14" s="69">
        <f>F4*G14*K14</f>
        <v>1.2E-2</v>
      </c>
      <c r="J14" s="69"/>
      <c r="K14" s="60">
        <v>1</v>
      </c>
      <c r="L14" s="70">
        <f>F8*G14*N14</f>
        <v>0</v>
      </c>
      <c r="M14" s="70"/>
      <c r="N14" s="60">
        <v>0</v>
      </c>
      <c r="O14" s="60">
        <f>F8*G14*Q14</f>
        <v>0</v>
      </c>
      <c r="P14" s="60"/>
      <c r="Q14" s="60">
        <v>0</v>
      </c>
      <c r="R14" s="60"/>
      <c r="S14" s="60"/>
      <c r="T14" s="60"/>
      <c r="U14" s="71">
        <v>0.125</v>
      </c>
      <c r="V14" s="8"/>
      <c r="W14" s="8"/>
      <c r="X14" s="8"/>
      <c r="Y14" s="8"/>
      <c r="Z14" s="8"/>
    </row>
    <row r="15" spans="1:26" ht="12.75">
      <c r="A15" s="52">
        <v>12</v>
      </c>
      <c r="B15" s="53" t="s">
        <v>53</v>
      </c>
      <c r="C15" s="54" t="s">
        <v>51</v>
      </c>
      <c r="D15" s="54" t="s">
        <v>54</v>
      </c>
      <c r="E15" s="55"/>
      <c r="F15" s="56"/>
      <c r="G15" s="60">
        <v>0.06</v>
      </c>
      <c r="H15" s="58" t="s">
        <v>25</v>
      </c>
      <c r="I15" s="69">
        <f>F4*G15*K15</f>
        <v>1.2E-2</v>
      </c>
      <c r="J15" s="69"/>
      <c r="K15" s="60">
        <v>1</v>
      </c>
      <c r="L15" s="70">
        <f>F8*G15*N15</f>
        <v>0</v>
      </c>
      <c r="M15" s="70"/>
      <c r="N15" s="60">
        <v>0</v>
      </c>
      <c r="O15" s="60">
        <f>F8*G15*Q15</f>
        <v>0</v>
      </c>
      <c r="P15" s="60"/>
      <c r="Q15" s="60">
        <v>0</v>
      </c>
      <c r="R15" s="60"/>
      <c r="S15" s="60"/>
      <c r="T15" s="60"/>
      <c r="U15" s="71">
        <v>0.125</v>
      </c>
      <c r="V15" s="8"/>
      <c r="W15" s="8"/>
      <c r="X15" s="8"/>
      <c r="Y15" s="8"/>
      <c r="Z15" s="8"/>
    </row>
    <row r="16" spans="1:26" ht="12.75">
      <c r="A16" s="52">
        <v>13</v>
      </c>
      <c r="B16" s="53" t="s">
        <v>55</v>
      </c>
      <c r="C16" s="54" t="s">
        <v>56</v>
      </c>
      <c r="D16" s="54" t="s">
        <v>57</v>
      </c>
      <c r="E16" s="55"/>
      <c r="F16" s="56"/>
      <c r="G16" s="60">
        <v>0.06</v>
      </c>
      <c r="H16" s="58" t="s">
        <v>25</v>
      </c>
      <c r="I16" s="69">
        <f>F4*G16*K16</f>
        <v>1.2E-2</v>
      </c>
      <c r="J16" s="69"/>
      <c r="K16" s="60">
        <v>1</v>
      </c>
      <c r="L16" s="70">
        <f>F8*G16*N16</f>
        <v>0</v>
      </c>
      <c r="M16" s="70"/>
      <c r="N16" s="60">
        <v>0</v>
      </c>
      <c r="O16" s="60">
        <f>F8*G16*Q16</f>
        <v>0</v>
      </c>
      <c r="P16" s="60"/>
      <c r="Q16" s="60">
        <v>0</v>
      </c>
      <c r="R16" s="60"/>
      <c r="S16" s="62"/>
      <c r="T16" s="60"/>
      <c r="U16" s="71">
        <v>0.125</v>
      </c>
      <c r="V16" s="8"/>
      <c r="W16" s="8"/>
      <c r="X16" s="8"/>
      <c r="Y16" s="8"/>
      <c r="Z16" s="8"/>
    </row>
    <row r="17" spans="1:26" ht="12.75">
      <c r="A17" s="52">
        <v>14</v>
      </c>
      <c r="B17" s="53" t="s">
        <v>58</v>
      </c>
      <c r="C17" s="54" t="s">
        <v>59</v>
      </c>
      <c r="D17" s="54" t="s">
        <v>60</v>
      </c>
      <c r="E17" s="55"/>
      <c r="F17" s="56"/>
      <c r="G17" s="60">
        <v>0.06</v>
      </c>
      <c r="H17" s="58" t="s">
        <v>25</v>
      </c>
      <c r="I17" s="69">
        <f>F4*G17*K17</f>
        <v>1.2E-2</v>
      </c>
      <c r="J17" s="69"/>
      <c r="K17" s="60">
        <v>1</v>
      </c>
      <c r="L17" s="70">
        <f>F8*G17*N17</f>
        <v>0</v>
      </c>
      <c r="M17" s="70"/>
      <c r="N17" s="60">
        <v>0</v>
      </c>
      <c r="O17" s="69">
        <f>F8*G17*Q17</f>
        <v>0</v>
      </c>
      <c r="P17" s="69"/>
      <c r="Q17" s="60">
        <v>0</v>
      </c>
      <c r="R17" s="60"/>
      <c r="S17" s="60"/>
      <c r="T17" s="60"/>
      <c r="U17" s="71">
        <v>0.125</v>
      </c>
      <c r="V17" s="8"/>
      <c r="W17" s="8"/>
      <c r="X17" s="8"/>
      <c r="Y17" s="8"/>
      <c r="Z17" s="8"/>
    </row>
    <row r="18" spans="1:26" ht="12.75">
      <c r="A18" s="52">
        <v>15</v>
      </c>
      <c r="B18" s="53" t="s">
        <v>61</v>
      </c>
      <c r="C18" s="54" t="s">
        <v>62</v>
      </c>
      <c r="D18" s="54" t="s">
        <v>63</v>
      </c>
      <c r="E18" s="55"/>
      <c r="F18" s="56"/>
      <c r="G18" s="60">
        <v>0.06</v>
      </c>
      <c r="H18" s="58" t="s">
        <v>25</v>
      </c>
      <c r="I18" s="69">
        <f>F4*G18*K18</f>
        <v>1.2E-2</v>
      </c>
      <c r="J18" s="69"/>
      <c r="K18" s="60">
        <v>1</v>
      </c>
      <c r="L18" s="70">
        <f>F8*G18*N18</f>
        <v>0</v>
      </c>
      <c r="M18" s="70"/>
      <c r="N18" s="60">
        <v>0</v>
      </c>
      <c r="O18" s="69">
        <f>F8*G18*Q18</f>
        <v>0</v>
      </c>
      <c r="P18" s="69"/>
      <c r="Q18" s="60">
        <v>0</v>
      </c>
      <c r="R18" s="60"/>
      <c r="S18" s="60"/>
      <c r="T18" s="60"/>
      <c r="U18" s="72" t="s">
        <v>64</v>
      </c>
      <c r="V18" s="8"/>
      <c r="W18" s="8"/>
      <c r="X18" s="8"/>
      <c r="Y18" s="8"/>
      <c r="Z18" s="8"/>
    </row>
    <row r="19" spans="1:26" ht="25.5">
      <c r="A19" s="52">
        <v>16</v>
      </c>
      <c r="B19" s="53" t="s">
        <v>65</v>
      </c>
      <c r="C19" s="54" t="s">
        <v>66</v>
      </c>
      <c r="D19" s="54" t="s">
        <v>67</v>
      </c>
      <c r="E19" s="55"/>
      <c r="F19" s="56"/>
      <c r="G19" s="60">
        <v>0.06</v>
      </c>
      <c r="H19" s="58" t="s">
        <v>25</v>
      </c>
      <c r="I19" s="69">
        <f>F4*G19*K19</f>
        <v>1.2E-2</v>
      </c>
      <c r="J19" s="69"/>
      <c r="K19" s="60">
        <v>1</v>
      </c>
      <c r="L19" s="70">
        <f>F8*G19*N19</f>
        <v>0</v>
      </c>
      <c r="M19" s="70"/>
      <c r="N19" s="60">
        <v>0</v>
      </c>
      <c r="O19" s="69">
        <f>F8*G19*Q19</f>
        <v>0</v>
      </c>
      <c r="P19" s="69"/>
      <c r="Q19" s="60">
        <v>0</v>
      </c>
      <c r="R19" s="60"/>
      <c r="S19" s="60"/>
      <c r="T19" s="60"/>
      <c r="U19" s="72" t="s">
        <v>64</v>
      </c>
      <c r="V19" s="8"/>
      <c r="W19" s="8"/>
      <c r="X19" s="8"/>
      <c r="Y19" s="8"/>
      <c r="Z19" s="8"/>
    </row>
    <row r="20" spans="1:26" ht="25.5">
      <c r="A20" s="52">
        <v>17</v>
      </c>
      <c r="B20" s="53" t="s">
        <v>68</v>
      </c>
      <c r="C20" s="54" t="s">
        <v>69</v>
      </c>
      <c r="D20" s="54" t="s">
        <v>70</v>
      </c>
      <c r="E20" s="55"/>
      <c r="F20" s="56"/>
      <c r="G20" s="60">
        <v>0.04</v>
      </c>
      <c r="H20" s="58" t="s">
        <v>25</v>
      </c>
      <c r="I20" s="69">
        <f>F4*G20*K20</f>
        <v>8.0000000000000002E-3</v>
      </c>
      <c r="J20" s="69"/>
      <c r="K20" s="60">
        <v>1</v>
      </c>
      <c r="L20" s="70">
        <f>F8*G20*N20</f>
        <v>0</v>
      </c>
      <c r="M20" s="70"/>
      <c r="N20" s="60">
        <v>0</v>
      </c>
      <c r="O20" s="69">
        <f>F8*G20*Q20</f>
        <v>0</v>
      </c>
      <c r="P20" s="69"/>
      <c r="Q20" s="60">
        <v>0</v>
      </c>
      <c r="R20" s="60"/>
      <c r="S20" s="62"/>
      <c r="T20" s="60"/>
      <c r="U20" s="72" t="s">
        <v>64</v>
      </c>
      <c r="V20" s="8"/>
      <c r="W20" s="8"/>
      <c r="X20" s="8"/>
      <c r="Y20" s="8"/>
      <c r="Z20" s="8"/>
    </row>
    <row r="21" spans="1:26" ht="14.25">
      <c r="A21" s="44" t="s">
        <v>71</v>
      </c>
      <c r="B21" s="44"/>
      <c r="C21" s="44"/>
      <c r="D21" s="45"/>
      <c r="E21" s="46"/>
      <c r="F21" s="47"/>
      <c r="G21" s="48"/>
      <c r="H21" s="48"/>
      <c r="I21" s="49"/>
      <c r="J21" s="49"/>
      <c r="K21" s="48"/>
      <c r="L21" s="50"/>
      <c r="M21" s="50"/>
      <c r="N21" s="48"/>
      <c r="O21" s="48"/>
      <c r="P21" s="48"/>
      <c r="Q21" s="48"/>
      <c r="R21" s="48"/>
      <c r="S21" s="48"/>
      <c r="T21" s="48"/>
      <c r="U21" s="51"/>
      <c r="V21" s="8"/>
      <c r="W21" s="8"/>
      <c r="X21" s="8"/>
      <c r="Y21" s="8"/>
      <c r="Z21" s="8"/>
    </row>
    <row r="22" spans="1:26" ht="25.5">
      <c r="A22" s="52">
        <v>18</v>
      </c>
      <c r="B22" s="53" t="s">
        <v>72</v>
      </c>
      <c r="C22" s="54" t="s">
        <v>73</v>
      </c>
      <c r="D22" s="54" t="s">
        <v>73</v>
      </c>
      <c r="E22" s="73" t="s">
        <v>74</v>
      </c>
      <c r="F22" s="56">
        <v>0.2</v>
      </c>
      <c r="G22" s="60">
        <v>0.1</v>
      </c>
      <c r="H22" s="58" t="s">
        <v>25</v>
      </c>
      <c r="I22" s="69">
        <f>F22*G22*K22</f>
        <v>2.0000000000000004E-2</v>
      </c>
      <c r="J22" s="69"/>
      <c r="K22" s="60">
        <v>1</v>
      </c>
      <c r="L22" s="70">
        <f>F8*G22*N22</f>
        <v>0</v>
      </c>
      <c r="M22" s="70"/>
      <c r="N22" s="60">
        <v>0</v>
      </c>
      <c r="O22" s="69">
        <f>F8*G22*Q22</f>
        <v>0</v>
      </c>
      <c r="P22" s="69"/>
      <c r="Q22" s="60">
        <v>0</v>
      </c>
      <c r="R22" s="60"/>
      <c r="S22" s="60"/>
      <c r="T22" s="60"/>
      <c r="U22" s="71">
        <v>0.125</v>
      </c>
      <c r="V22" s="8"/>
      <c r="W22" s="8"/>
      <c r="X22" s="8"/>
      <c r="Y22" s="8"/>
      <c r="Z22" s="8"/>
    </row>
    <row r="23" spans="1:26" ht="25.5">
      <c r="A23" s="74">
        <v>19</v>
      </c>
      <c r="B23" s="53" t="s">
        <v>75</v>
      </c>
      <c r="C23" s="54" t="s">
        <v>76</v>
      </c>
      <c r="D23" s="54" t="s">
        <v>76</v>
      </c>
      <c r="E23" s="73"/>
      <c r="F23" s="56"/>
      <c r="G23" s="60">
        <v>0.1</v>
      </c>
      <c r="H23" s="58" t="s">
        <v>25</v>
      </c>
      <c r="I23" s="69">
        <f>F22*G23*K23</f>
        <v>2.0000000000000004E-2</v>
      </c>
      <c r="J23" s="69"/>
      <c r="K23" s="60">
        <v>1</v>
      </c>
      <c r="L23" s="70">
        <f>F23*G23*N23</f>
        <v>0</v>
      </c>
      <c r="M23" s="70"/>
      <c r="N23" s="60">
        <v>0</v>
      </c>
      <c r="O23" s="69">
        <f>F23*G23*Q23</f>
        <v>0</v>
      </c>
      <c r="P23" s="69"/>
      <c r="Q23" s="60">
        <v>0</v>
      </c>
      <c r="R23" s="60"/>
      <c r="S23" s="62"/>
      <c r="T23" s="60"/>
      <c r="U23" s="71">
        <v>0.125</v>
      </c>
      <c r="V23" s="8"/>
      <c r="W23" s="8"/>
      <c r="X23" s="8"/>
      <c r="Y23" s="8"/>
      <c r="Z23" s="8"/>
    </row>
    <row r="24" spans="1:26" ht="25.5">
      <c r="A24" s="74">
        <v>20</v>
      </c>
      <c r="B24" s="53" t="s">
        <v>77</v>
      </c>
      <c r="C24" s="54" t="s">
        <v>78</v>
      </c>
      <c r="D24" s="54" t="s">
        <v>78</v>
      </c>
      <c r="E24" s="73"/>
      <c r="F24" s="56"/>
      <c r="G24" s="60">
        <v>0.1</v>
      </c>
      <c r="H24" s="58" t="s">
        <v>25</v>
      </c>
      <c r="I24" s="69">
        <f>F22*G24*K24</f>
        <v>2.0000000000000004E-2</v>
      </c>
      <c r="J24" s="69"/>
      <c r="K24" s="60">
        <v>1</v>
      </c>
      <c r="L24" s="70">
        <f>F23*G24*N24</f>
        <v>0</v>
      </c>
      <c r="M24" s="70"/>
      <c r="N24" s="60">
        <v>0</v>
      </c>
      <c r="O24" s="69">
        <f>F23*G24*Q24</f>
        <v>0</v>
      </c>
      <c r="P24" s="69"/>
      <c r="Q24" s="60">
        <v>0</v>
      </c>
      <c r="R24" s="60"/>
      <c r="S24" s="62"/>
      <c r="T24" s="60"/>
      <c r="U24" s="71">
        <v>0.125</v>
      </c>
      <c r="V24" s="8"/>
      <c r="W24" s="8"/>
      <c r="X24" s="8"/>
      <c r="Y24" s="8"/>
      <c r="Z24" s="8"/>
    </row>
    <row r="25" spans="1:26" ht="25.5">
      <c r="A25" s="74">
        <v>21</v>
      </c>
      <c r="B25" s="53" t="s">
        <v>79</v>
      </c>
      <c r="C25" s="54" t="s">
        <v>80</v>
      </c>
      <c r="D25" s="54" t="s">
        <v>81</v>
      </c>
      <c r="E25" s="73"/>
      <c r="F25" s="56"/>
      <c r="G25" s="60">
        <v>0.1</v>
      </c>
      <c r="H25" s="58" t="s">
        <v>25</v>
      </c>
      <c r="I25" s="69">
        <f>F22*G25*K25</f>
        <v>2.0000000000000004E-2</v>
      </c>
      <c r="J25" s="69"/>
      <c r="K25" s="60">
        <v>1</v>
      </c>
      <c r="L25" s="70">
        <f>F23*G25*N25</f>
        <v>0</v>
      </c>
      <c r="M25" s="70"/>
      <c r="N25" s="60">
        <v>0</v>
      </c>
      <c r="O25" s="69">
        <f>F23*G25*Q25</f>
        <v>0</v>
      </c>
      <c r="P25" s="69"/>
      <c r="Q25" s="60">
        <v>0</v>
      </c>
      <c r="R25" s="60"/>
      <c r="S25" s="60"/>
      <c r="T25" s="60"/>
      <c r="U25" s="71">
        <v>0.125</v>
      </c>
      <c r="V25" s="8"/>
      <c r="W25" s="8"/>
      <c r="X25" s="8"/>
      <c r="Y25" s="8"/>
      <c r="Z25" s="8"/>
    </row>
    <row r="26" spans="1:26" ht="38.25">
      <c r="A26" s="74">
        <v>22</v>
      </c>
      <c r="B26" s="53" t="s">
        <v>82</v>
      </c>
      <c r="C26" s="54" t="s">
        <v>83</v>
      </c>
      <c r="D26" s="54" t="s">
        <v>83</v>
      </c>
      <c r="E26" s="73"/>
      <c r="F26" s="56"/>
      <c r="G26" s="60">
        <v>0.1</v>
      </c>
      <c r="H26" s="58" t="s">
        <v>25</v>
      </c>
      <c r="I26" s="69">
        <f>F22*G26*K26</f>
        <v>2.0000000000000004E-2</v>
      </c>
      <c r="J26" s="69"/>
      <c r="K26" s="60">
        <v>1</v>
      </c>
      <c r="L26" s="70">
        <f>F23*G26*N26</f>
        <v>0</v>
      </c>
      <c r="M26" s="70"/>
      <c r="N26" s="60">
        <v>0</v>
      </c>
      <c r="O26" s="69">
        <f>F23*G26*Q26</f>
        <v>0</v>
      </c>
      <c r="P26" s="69"/>
      <c r="Q26" s="60">
        <v>0</v>
      </c>
      <c r="R26" s="60"/>
      <c r="S26" s="60"/>
      <c r="T26" s="60"/>
      <c r="U26" s="71">
        <v>0.125</v>
      </c>
      <c r="V26" s="8"/>
      <c r="W26" s="8"/>
      <c r="X26" s="8"/>
      <c r="Y26" s="8"/>
      <c r="Z26" s="8"/>
    </row>
    <row r="27" spans="1:26" ht="38.25">
      <c r="A27" s="74">
        <v>23</v>
      </c>
      <c r="B27" s="53" t="s">
        <v>84</v>
      </c>
      <c r="C27" s="54" t="s">
        <v>85</v>
      </c>
      <c r="D27" s="54" t="s">
        <v>85</v>
      </c>
      <c r="E27" s="73"/>
      <c r="F27" s="56"/>
      <c r="G27" s="60">
        <v>0.1</v>
      </c>
      <c r="H27" s="58" t="s">
        <v>25</v>
      </c>
      <c r="I27" s="69">
        <f>F22*G27*K27</f>
        <v>2.0000000000000004E-2</v>
      </c>
      <c r="J27" s="69"/>
      <c r="K27" s="60">
        <v>1</v>
      </c>
      <c r="L27" s="70">
        <f>F23*G27*N27</f>
        <v>0</v>
      </c>
      <c r="M27" s="70"/>
      <c r="N27" s="60">
        <v>0</v>
      </c>
      <c r="O27" s="69">
        <f>F23*G27*Q27</f>
        <v>0</v>
      </c>
      <c r="P27" s="69"/>
      <c r="Q27" s="60">
        <v>0</v>
      </c>
      <c r="R27" s="62"/>
      <c r="S27" s="62"/>
      <c r="T27" s="60"/>
      <c r="U27" s="71">
        <v>0.125</v>
      </c>
      <c r="V27" s="8"/>
      <c r="W27" s="8"/>
      <c r="X27" s="8"/>
      <c r="Y27" s="8"/>
      <c r="Z27" s="8"/>
    </row>
    <row r="28" spans="1:26" ht="25.5">
      <c r="A28" s="74">
        <v>24</v>
      </c>
      <c r="B28" s="53" t="s">
        <v>86</v>
      </c>
      <c r="C28" s="54" t="s">
        <v>87</v>
      </c>
      <c r="D28" s="54" t="s">
        <v>87</v>
      </c>
      <c r="E28" s="73"/>
      <c r="F28" s="56"/>
      <c r="G28" s="60">
        <v>0.1</v>
      </c>
      <c r="H28" s="58" t="s">
        <v>25</v>
      </c>
      <c r="I28" s="69">
        <f>F22*G28*K28</f>
        <v>2.0000000000000004E-2</v>
      </c>
      <c r="J28" s="69"/>
      <c r="K28" s="60">
        <v>1</v>
      </c>
      <c r="L28" s="70">
        <f>F23*G28*N28</f>
        <v>0</v>
      </c>
      <c r="M28" s="70"/>
      <c r="N28" s="60">
        <v>0</v>
      </c>
      <c r="O28" s="69">
        <f>F23*G28*Q28</f>
        <v>0</v>
      </c>
      <c r="P28" s="69"/>
      <c r="Q28" s="60">
        <v>0</v>
      </c>
      <c r="R28" s="60"/>
      <c r="S28" s="60"/>
      <c r="T28" s="60"/>
      <c r="U28" s="71">
        <v>0.125</v>
      </c>
      <c r="V28" s="8"/>
      <c r="W28" s="8"/>
      <c r="X28" s="8"/>
      <c r="Y28" s="8"/>
      <c r="Z28" s="8"/>
    </row>
    <row r="29" spans="1:26" ht="12.75">
      <c r="A29" s="74">
        <v>25</v>
      </c>
      <c r="B29" s="53" t="s">
        <v>88</v>
      </c>
      <c r="C29" s="54" t="s">
        <v>89</v>
      </c>
      <c r="D29" s="54" t="s">
        <v>90</v>
      </c>
      <c r="E29" s="73"/>
      <c r="F29" s="56"/>
      <c r="G29" s="60">
        <v>0.1</v>
      </c>
      <c r="H29" s="58" t="s">
        <v>25</v>
      </c>
      <c r="I29" s="69">
        <f>F22*G29*K29</f>
        <v>2.0000000000000004E-2</v>
      </c>
      <c r="J29" s="69"/>
      <c r="K29" s="60">
        <v>1</v>
      </c>
      <c r="L29" s="70">
        <f>F23*G29*N29</f>
        <v>0</v>
      </c>
      <c r="M29" s="70"/>
      <c r="N29" s="60">
        <v>0</v>
      </c>
      <c r="O29" s="69">
        <f>F23*G29*Q29</f>
        <v>0</v>
      </c>
      <c r="P29" s="69"/>
      <c r="Q29" s="60">
        <v>0</v>
      </c>
      <c r="R29" s="60"/>
      <c r="S29" s="60"/>
      <c r="T29" s="60"/>
      <c r="U29" s="71">
        <v>0.125</v>
      </c>
      <c r="V29" s="8"/>
      <c r="W29" s="8"/>
      <c r="X29" s="8"/>
      <c r="Y29" s="8"/>
      <c r="Z29" s="8"/>
    </row>
    <row r="30" spans="1:26" ht="25.5">
      <c r="A30" s="74">
        <v>26</v>
      </c>
      <c r="B30" s="53" t="s">
        <v>91</v>
      </c>
      <c r="C30" s="54" t="s">
        <v>92</v>
      </c>
      <c r="D30" s="54" t="s">
        <v>93</v>
      </c>
      <c r="E30" s="73"/>
      <c r="F30" s="56"/>
      <c r="G30" s="60">
        <v>0.1</v>
      </c>
      <c r="H30" s="58" t="s">
        <v>25</v>
      </c>
      <c r="I30" s="69">
        <f>F22*G30*K30</f>
        <v>2.0000000000000004E-2</v>
      </c>
      <c r="J30" s="69"/>
      <c r="K30" s="60">
        <v>1</v>
      </c>
      <c r="L30" s="70">
        <f>F24*G30*N30</f>
        <v>0</v>
      </c>
      <c r="M30" s="70"/>
      <c r="N30" s="60">
        <v>0</v>
      </c>
      <c r="O30" s="69">
        <f>F23*G30*Q30</f>
        <v>0</v>
      </c>
      <c r="P30" s="69"/>
      <c r="Q30" s="60"/>
      <c r="R30" s="60"/>
      <c r="S30" s="60"/>
      <c r="T30" s="60"/>
      <c r="U30" s="71"/>
      <c r="V30" s="8"/>
      <c r="W30" s="8"/>
      <c r="X30" s="8"/>
      <c r="Y30" s="8"/>
      <c r="Z30" s="8"/>
    </row>
    <row r="31" spans="1:26" ht="38.25">
      <c r="A31" s="74">
        <v>27</v>
      </c>
      <c r="B31" s="54" t="s">
        <v>94</v>
      </c>
      <c r="C31" s="54" t="s">
        <v>95</v>
      </c>
      <c r="D31" s="54" t="s">
        <v>95</v>
      </c>
      <c r="E31" s="73"/>
      <c r="F31" s="56"/>
      <c r="G31" s="60">
        <v>0.1</v>
      </c>
      <c r="H31" s="58" t="s">
        <v>25</v>
      </c>
      <c r="I31" s="69">
        <f>F22*G31*K31</f>
        <v>2.0000000000000004E-2</v>
      </c>
      <c r="J31" s="69"/>
      <c r="K31" s="60">
        <v>1</v>
      </c>
      <c r="L31" s="70">
        <f>F25*G31*N31</f>
        <v>0</v>
      </c>
      <c r="M31" s="70"/>
      <c r="N31" s="60">
        <v>0</v>
      </c>
      <c r="O31" s="69">
        <f>F23*G31*Q31</f>
        <v>0</v>
      </c>
      <c r="P31" s="69"/>
      <c r="Q31" s="60"/>
      <c r="R31" s="60"/>
      <c r="S31" s="60"/>
      <c r="T31" s="60"/>
      <c r="U31" s="71"/>
      <c r="V31" s="8"/>
      <c r="W31" s="8"/>
      <c r="X31" s="8"/>
      <c r="Y31" s="8"/>
      <c r="Z31" s="8"/>
    </row>
    <row r="32" spans="1:26" ht="14.25">
      <c r="A32" s="44" t="s">
        <v>96</v>
      </c>
      <c r="B32" s="44"/>
      <c r="C32" s="44"/>
      <c r="D32" s="44"/>
      <c r="E32" s="46"/>
      <c r="F32" s="47"/>
      <c r="G32" s="48"/>
      <c r="H32" s="48"/>
      <c r="I32" s="49"/>
      <c r="J32" s="49"/>
      <c r="K32" s="48"/>
      <c r="L32" s="50"/>
      <c r="M32" s="50"/>
      <c r="N32" s="48"/>
      <c r="O32" s="48"/>
      <c r="P32" s="48"/>
      <c r="Q32" s="48"/>
      <c r="R32" s="48"/>
      <c r="S32" s="48"/>
      <c r="T32" s="48"/>
      <c r="U32" s="51"/>
      <c r="V32" s="8"/>
      <c r="W32" s="8"/>
      <c r="X32" s="8"/>
      <c r="Y32" s="8"/>
      <c r="Z32" s="8"/>
    </row>
    <row r="33" spans="1:26" ht="25.5">
      <c r="A33" s="74">
        <v>28</v>
      </c>
      <c r="B33" s="53" t="s">
        <v>97</v>
      </c>
      <c r="C33" s="54" t="s">
        <v>98</v>
      </c>
      <c r="D33" s="54" t="s">
        <v>98</v>
      </c>
      <c r="E33" s="75" t="s">
        <v>99</v>
      </c>
      <c r="F33" s="76">
        <v>0.2</v>
      </c>
      <c r="G33" s="60">
        <v>0.12</v>
      </c>
      <c r="H33" s="58" t="s">
        <v>25</v>
      </c>
      <c r="I33" s="69">
        <f>F33*G33*K33</f>
        <v>2.4E-2</v>
      </c>
      <c r="J33" s="69"/>
      <c r="K33" s="60">
        <v>1</v>
      </c>
      <c r="L33" s="70">
        <f>F33*G33*N33</f>
        <v>0</v>
      </c>
      <c r="M33" s="70"/>
      <c r="N33" s="60">
        <v>0</v>
      </c>
      <c r="O33" s="69">
        <f>F23*G33*Q33</f>
        <v>0</v>
      </c>
      <c r="P33" s="69"/>
      <c r="Q33" s="60">
        <v>0</v>
      </c>
      <c r="R33" s="60"/>
      <c r="S33" s="60"/>
      <c r="T33" s="60"/>
      <c r="U33" s="71">
        <v>0.125</v>
      </c>
      <c r="V33" s="8"/>
      <c r="W33" s="8"/>
      <c r="X33" s="8"/>
      <c r="Y33" s="8"/>
      <c r="Z33" s="8"/>
    </row>
    <row r="34" spans="1:26" ht="25.5">
      <c r="A34" s="74">
        <v>29</v>
      </c>
      <c r="B34" s="53" t="s">
        <v>100</v>
      </c>
      <c r="C34" s="54" t="s">
        <v>101</v>
      </c>
      <c r="D34" s="54" t="s">
        <v>101</v>
      </c>
      <c r="E34" s="75"/>
      <c r="F34" s="76"/>
      <c r="G34" s="60">
        <v>0.12</v>
      </c>
      <c r="H34" s="58" t="s">
        <v>25</v>
      </c>
      <c r="I34" s="69">
        <f>F33*G34*K34</f>
        <v>2.4E-2</v>
      </c>
      <c r="J34" s="69"/>
      <c r="K34" s="60">
        <v>1</v>
      </c>
      <c r="L34" s="70">
        <f t="shared" ref="L34:L40" si="0">$F34*G34*N34</f>
        <v>0</v>
      </c>
      <c r="M34" s="70"/>
      <c r="N34" s="60">
        <v>0</v>
      </c>
      <c r="O34" s="69">
        <f>F23*G34*Q34</f>
        <v>0</v>
      </c>
      <c r="P34" s="69"/>
      <c r="Q34" s="60">
        <v>0</v>
      </c>
      <c r="R34" s="62"/>
      <c r="S34" s="62"/>
      <c r="T34" s="62"/>
      <c r="U34" s="71">
        <v>0.125</v>
      </c>
      <c r="V34" s="8"/>
      <c r="W34" s="8"/>
      <c r="X34" s="8"/>
      <c r="Y34" s="8"/>
      <c r="Z34" s="8"/>
    </row>
    <row r="35" spans="1:26" ht="38.25">
      <c r="A35" s="74">
        <v>30</v>
      </c>
      <c r="B35" s="53" t="s">
        <v>102</v>
      </c>
      <c r="C35" s="54" t="s">
        <v>103</v>
      </c>
      <c r="D35" s="54" t="s">
        <v>103</v>
      </c>
      <c r="E35" s="75"/>
      <c r="F35" s="76"/>
      <c r="G35" s="60">
        <v>0.13</v>
      </c>
      <c r="H35" s="58" t="s">
        <v>25</v>
      </c>
      <c r="I35" s="69">
        <f>F33*G35*K35</f>
        <v>2.6000000000000002E-2</v>
      </c>
      <c r="J35" s="69"/>
      <c r="K35" s="60">
        <v>1</v>
      </c>
      <c r="L35" s="70">
        <f t="shared" si="0"/>
        <v>0</v>
      </c>
      <c r="M35" s="70"/>
      <c r="N35" s="60">
        <v>0</v>
      </c>
      <c r="O35" s="69">
        <f>F23*G35*Q35</f>
        <v>0</v>
      </c>
      <c r="P35" s="69"/>
      <c r="Q35" s="60">
        <v>0</v>
      </c>
      <c r="R35" s="62"/>
      <c r="S35" s="62"/>
      <c r="T35" s="62"/>
      <c r="U35" s="71">
        <v>0.125</v>
      </c>
      <c r="V35" s="8"/>
      <c r="W35" s="8"/>
      <c r="X35" s="8"/>
      <c r="Y35" s="8"/>
      <c r="Z35" s="8"/>
    </row>
    <row r="36" spans="1:26" ht="38.25">
      <c r="A36" s="74">
        <v>31</v>
      </c>
      <c r="B36" s="53" t="s">
        <v>104</v>
      </c>
      <c r="C36" s="54" t="s">
        <v>105</v>
      </c>
      <c r="D36" s="54" t="s">
        <v>105</v>
      </c>
      <c r="E36" s="75"/>
      <c r="F36" s="76"/>
      <c r="G36" s="60">
        <v>0.13</v>
      </c>
      <c r="H36" s="58" t="s">
        <v>25</v>
      </c>
      <c r="I36" s="69">
        <f>F33*G36*K36</f>
        <v>2.6000000000000002E-2</v>
      </c>
      <c r="J36" s="69"/>
      <c r="K36" s="60">
        <v>1</v>
      </c>
      <c r="L36" s="70">
        <f t="shared" si="0"/>
        <v>0</v>
      </c>
      <c r="M36" s="70"/>
      <c r="N36" s="60">
        <v>0</v>
      </c>
      <c r="O36" s="69">
        <f>F23*G36*Q36</f>
        <v>0</v>
      </c>
      <c r="P36" s="69"/>
      <c r="Q36" s="60">
        <v>0</v>
      </c>
      <c r="R36" s="62"/>
      <c r="S36" s="62"/>
      <c r="T36" s="62"/>
      <c r="U36" s="71">
        <v>0.125</v>
      </c>
      <c r="V36" s="8"/>
      <c r="W36" s="8"/>
      <c r="X36" s="8"/>
      <c r="Y36" s="8"/>
      <c r="Z36" s="8"/>
    </row>
    <row r="37" spans="1:26" ht="38.25">
      <c r="A37" s="52">
        <v>32</v>
      </c>
      <c r="B37" s="53" t="s">
        <v>106</v>
      </c>
      <c r="C37" s="54" t="s">
        <v>85</v>
      </c>
      <c r="D37" s="54" t="s">
        <v>85</v>
      </c>
      <c r="E37" s="75"/>
      <c r="F37" s="76"/>
      <c r="G37" s="60">
        <v>0.13</v>
      </c>
      <c r="H37" s="58" t="s">
        <v>25</v>
      </c>
      <c r="I37" s="59">
        <f>F33*G37*K37</f>
        <v>2.6000000000000002E-2</v>
      </c>
      <c r="J37" s="59"/>
      <c r="K37" s="60">
        <v>1</v>
      </c>
      <c r="L37" s="70">
        <f t="shared" si="0"/>
        <v>0</v>
      </c>
      <c r="M37" s="61"/>
      <c r="N37" s="60">
        <v>0</v>
      </c>
      <c r="O37" s="69">
        <f>F24*G37*Q37</f>
        <v>0</v>
      </c>
      <c r="P37" s="59"/>
      <c r="Q37" s="60">
        <v>0</v>
      </c>
      <c r="R37" s="58"/>
      <c r="S37" s="58"/>
      <c r="T37" s="58"/>
      <c r="U37" s="63">
        <v>0.125</v>
      </c>
      <c r="V37" s="8"/>
      <c r="W37" s="8"/>
      <c r="X37" s="8"/>
      <c r="Y37" s="8"/>
      <c r="Z37" s="8"/>
    </row>
    <row r="38" spans="1:26" ht="25.5">
      <c r="A38" s="52">
        <v>33</v>
      </c>
      <c r="B38" s="53" t="s">
        <v>107</v>
      </c>
      <c r="C38" s="54" t="s">
        <v>87</v>
      </c>
      <c r="D38" s="54" t="s">
        <v>87</v>
      </c>
      <c r="E38" s="75"/>
      <c r="F38" s="76"/>
      <c r="G38" s="60">
        <v>0.13</v>
      </c>
      <c r="H38" s="58" t="s">
        <v>25</v>
      </c>
      <c r="I38" s="59">
        <f>F33*G38*K38</f>
        <v>2.6000000000000002E-2</v>
      </c>
      <c r="J38" s="59"/>
      <c r="K38" s="60">
        <v>1</v>
      </c>
      <c r="L38" s="70">
        <f t="shared" si="0"/>
        <v>0</v>
      </c>
      <c r="M38" s="61"/>
      <c r="N38" s="60">
        <v>0</v>
      </c>
      <c r="O38" s="69">
        <f>F25*G38*Q38</f>
        <v>0</v>
      </c>
      <c r="P38" s="59"/>
      <c r="Q38" s="60">
        <v>0</v>
      </c>
      <c r="R38" s="58"/>
      <c r="S38" s="58"/>
      <c r="T38" s="58"/>
      <c r="U38" s="63">
        <v>0.125</v>
      </c>
      <c r="V38" s="8"/>
      <c r="W38" s="8"/>
      <c r="X38" s="8"/>
      <c r="Y38" s="8"/>
      <c r="Z38" s="8"/>
    </row>
    <row r="39" spans="1:26" ht="12.75">
      <c r="A39" s="74">
        <v>34</v>
      </c>
      <c r="B39" s="53" t="s">
        <v>108</v>
      </c>
      <c r="C39" s="54" t="s">
        <v>109</v>
      </c>
      <c r="D39" s="54" t="s">
        <v>109</v>
      </c>
      <c r="E39" s="75"/>
      <c r="F39" s="76"/>
      <c r="G39" s="60">
        <v>0.12</v>
      </c>
      <c r="H39" s="58" t="s">
        <v>25</v>
      </c>
      <c r="I39" s="69">
        <f>F33*G39*K39</f>
        <v>2.4E-2</v>
      </c>
      <c r="J39" s="69"/>
      <c r="K39" s="60">
        <v>1</v>
      </c>
      <c r="L39" s="70">
        <f t="shared" si="0"/>
        <v>0</v>
      </c>
      <c r="M39" s="70"/>
      <c r="N39" s="60">
        <v>0</v>
      </c>
      <c r="O39" s="69">
        <f>F26*G39*Q39</f>
        <v>0</v>
      </c>
      <c r="P39" s="69"/>
      <c r="Q39" s="60">
        <v>0</v>
      </c>
      <c r="R39" s="62"/>
      <c r="S39" s="62"/>
      <c r="T39" s="62"/>
      <c r="U39" s="71">
        <v>0.125</v>
      </c>
      <c r="V39" s="8"/>
      <c r="W39" s="8"/>
      <c r="X39" s="8"/>
      <c r="Y39" s="8"/>
      <c r="Z39" s="8"/>
    </row>
    <row r="40" spans="1:26" ht="25.5">
      <c r="A40" s="74">
        <v>35</v>
      </c>
      <c r="B40" s="53" t="s">
        <v>110</v>
      </c>
      <c r="C40" s="54" t="s">
        <v>111</v>
      </c>
      <c r="D40" s="54" t="s">
        <v>111</v>
      </c>
      <c r="E40" s="75"/>
      <c r="F40" s="76"/>
      <c r="G40" s="60">
        <v>0.12</v>
      </c>
      <c r="H40" s="58" t="s">
        <v>25</v>
      </c>
      <c r="I40" s="69">
        <f>F33*G40*K40</f>
        <v>2.4E-2</v>
      </c>
      <c r="J40" s="69"/>
      <c r="K40" s="60">
        <v>1</v>
      </c>
      <c r="L40" s="70">
        <f t="shared" si="0"/>
        <v>0</v>
      </c>
      <c r="M40" s="70"/>
      <c r="N40" s="60">
        <v>0</v>
      </c>
      <c r="O40" s="69">
        <f>F27*G40*Q40</f>
        <v>0</v>
      </c>
      <c r="P40" s="69"/>
      <c r="Q40" s="60"/>
      <c r="R40" s="62"/>
      <c r="S40" s="62"/>
      <c r="T40" s="62"/>
      <c r="U40" s="71"/>
      <c r="V40" s="8"/>
      <c r="W40" s="8"/>
      <c r="X40" s="8"/>
      <c r="Y40" s="8"/>
      <c r="Z40" s="8"/>
    </row>
    <row r="41" spans="1:26" ht="14.25">
      <c r="A41" s="44" t="s">
        <v>112</v>
      </c>
      <c r="B41" s="44"/>
      <c r="C41" s="44"/>
      <c r="D41" s="45"/>
      <c r="E41" s="46"/>
      <c r="F41" s="47"/>
      <c r="G41" s="48"/>
      <c r="H41" s="48"/>
      <c r="I41" s="49"/>
      <c r="J41" s="49"/>
      <c r="K41" s="48"/>
      <c r="L41" s="50"/>
      <c r="M41" s="50"/>
      <c r="N41" s="48"/>
      <c r="O41" s="48"/>
      <c r="P41" s="48"/>
      <c r="Q41" s="48"/>
      <c r="R41" s="48"/>
      <c r="S41" s="48"/>
      <c r="T41" s="48"/>
      <c r="U41" s="51"/>
      <c r="V41" s="8"/>
      <c r="W41" s="8"/>
      <c r="X41" s="8"/>
      <c r="Y41" s="8"/>
      <c r="Z41" s="8"/>
    </row>
    <row r="42" spans="1:26" ht="38.25">
      <c r="A42" s="74">
        <v>36</v>
      </c>
      <c r="B42" s="77" t="s">
        <v>113</v>
      </c>
      <c r="C42" s="54" t="s">
        <v>114</v>
      </c>
      <c r="D42" s="54" t="s">
        <v>114</v>
      </c>
      <c r="E42" s="78" t="s">
        <v>115</v>
      </c>
      <c r="F42" s="79">
        <v>0.1</v>
      </c>
      <c r="G42" s="60">
        <v>0.25</v>
      </c>
      <c r="H42" s="58" t="s">
        <v>25</v>
      </c>
      <c r="I42" s="69">
        <f>F42*G42*K42</f>
        <v>2.5000000000000001E-2</v>
      </c>
      <c r="J42" s="69"/>
      <c r="K42" s="60">
        <v>1</v>
      </c>
      <c r="L42" s="70">
        <f>F35*G42*N42</f>
        <v>0</v>
      </c>
      <c r="M42" s="70"/>
      <c r="N42" s="60">
        <v>0</v>
      </c>
      <c r="O42" s="69">
        <f>F35*G42*Q42</f>
        <v>0</v>
      </c>
      <c r="P42" s="69"/>
      <c r="Q42" s="60">
        <v>0</v>
      </c>
      <c r="R42" s="62"/>
      <c r="S42" s="62"/>
      <c r="T42" s="62"/>
      <c r="U42" s="71">
        <v>0.125</v>
      </c>
      <c r="V42" s="8"/>
      <c r="W42" s="8"/>
      <c r="X42" s="8"/>
      <c r="Y42" s="8"/>
      <c r="Z42" s="8"/>
    </row>
    <row r="43" spans="1:26" ht="38.25">
      <c r="A43" s="74">
        <v>37</v>
      </c>
      <c r="B43" s="77" t="s">
        <v>116</v>
      </c>
      <c r="C43" s="54" t="s">
        <v>117</v>
      </c>
      <c r="D43" s="54" t="s">
        <v>117</v>
      </c>
      <c r="E43" s="78"/>
      <c r="F43" s="79"/>
      <c r="G43" s="60">
        <v>0.25</v>
      </c>
      <c r="H43" s="58" t="s">
        <v>25</v>
      </c>
      <c r="I43" s="69">
        <f>F42*G43*K43</f>
        <v>2.5000000000000001E-2</v>
      </c>
      <c r="J43" s="69"/>
      <c r="K43" s="60">
        <v>1</v>
      </c>
      <c r="L43" s="70">
        <f>F35*G43*N43</f>
        <v>0</v>
      </c>
      <c r="M43" s="70"/>
      <c r="N43" s="60">
        <v>0</v>
      </c>
      <c r="O43" s="69">
        <f>F35*G43*Q43</f>
        <v>0</v>
      </c>
      <c r="P43" s="69"/>
      <c r="Q43" s="60">
        <v>0</v>
      </c>
      <c r="R43" s="62"/>
      <c r="S43" s="62"/>
      <c r="T43" s="62"/>
      <c r="U43" s="71">
        <v>0.125</v>
      </c>
      <c r="V43" s="8"/>
      <c r="W43" s="8"/>
      <c r="X43" s="8"/>
      <c r="Y43" s="8"/>
      <c r="Z43" s="8"/>
    </row>
    <row r="44" spans="1:26" ht="38.25">
      <c r="A44" s="74">
        <v>38</v>
      </c>
      <c r="B44" s="77" t="s">
        <v>118</v>
      </c>
      <c r="C44" s="54" t="s">
        <v>119</v>
      </c>
      <c r="D44" s="54" t="s">
        <v>119</v>
      </c>
      <c r="E44" s="78"/>
      <c r="F44" s="79"/>
      <c r="G44" s="60">
        <v>0.25</v>
      </c>
      <c r="H44" s="58" t="s">
        <v>25</v>
      </c>
      <c r="I44" s="69">
        <f>F42*G44*K44</f>
        <v>2.5000000000000001E-2</v>
      </c>
      <c r="J44" s="69"/>
      <c r="K44" s="60">
        <v>1</v>
      </c>
      <c r="L44" s="70">
        <v>0</v>
      </c>
      <c r="M44" s="70"/>
      <c r="N44" s="60">
        <v>0</v>
      </c>
      <c r="O44" s="69">
        <f>F36*G44*Q44</f>
        <v>0</v>
      </c>
      <c r="P44" s="69"/>
      <c r="Q44" s="60"/>
      <c r="R44" s="62"/>
      <c r="S44" s="62"/>
      <c r="T44" s="62"/>
      <c r="U44" s="71"/>
      <c r="V44" s="8"/>
      <c r="W44" s="8"/>
      <c r="X44" s="8"/>
      <c r="Y44" s="8"/>
      <c r="Z44" s="8"/>
    </row>
    <row r="45" spans="1:26" ht="38.25">
      <c r="A45" s="74">
        <v>39</v>
      </c>
      <c r="B45" s="77" t="s">
        <v>120</v>
      </c>
      <c r="C45" s="54" t="s">
        <v>121</v>
      </c>
      <c r="D45" s="54" t="s">
        <v>122</v>
      </c>
      <c r="E45" s="78"/>
      <c r="F45" s="79"/>
      <c r="G45" s="60">
        <v>0.25</v>
      </c>
      <c r="H45" s="58" t="s">
        <v>25</v>
      </c>
      <c r="I45" s="69">
        <f>F42*G45*K45</f>
        <v>2.5000000000000001E-2</v>
      </c>
      <c r="J45" s="69"/>
      <c r="K45" s="60">
        <v>1</v>
      </c>
      <c r="L45" s="70">
        <v>0</v>
      </c>
      <c r="M45" s="70"/>
      <c r="N45" s="60">
        <v>0</v>
      </c>
      <c r="O45" s="69">
        <f>F37*G45*Q45</f>
        <v>0</v>
      </c>
      <c r="P45" s="69"/>
      <c r="Q45" s="60"/>
      <c r="R45" s="62"/>
      <c r="S45" s="62"/>
      <c r="T45" s="62"/>
      <c r="U45" s="71"/>
      <c r="V45" s="8"/>
      <c r="W45" s="8"/>
      <c r="X45" s="8"/>
      <c r="Y45" s="8"/>
      <c r="Z45" s="8"/>
    </row>
    <row r="46" spans="1:26" ht="14.25">
      <c r="A46" s="44" t="s">
        <v>123</v>
      </c>
      <c r="B46" s="44"/>
      <c r="C46" s="44"/>
      <c r="D46" s="45"/>
      <c r="E46" s="46"/>
      <c r="F46" s="47"/>
      <c r="G46" s="48"/>
      <c r="H46" s="48"/>
      <c r="I46" s="49"/>
      <c r="J46" s="49"/>
      <c r="K46" s="48"/>
      <c r="L46" s="50"/>
      <c r="M46" s="50"/>
      <c r="N46" s="48"/>
      <c r="O46" s="48"/>
      <c r="P46" s="48"/>
      <c r="Q46" s="48"/>
      <c r="R46" s="48"/>
      <c r="S46" s="48"/>
      <c r="T46" s="48"/>
      <c r="U46" s="51"/>
      <c r="V46" s="8"/>
      <c r="W46" s="8"/>
      <c r="X46" s="8"/>
      <c r="Y46" s="8"/>
      <c r="Z46" s="8"/>
    </row>
    <row r="47" spans="1:26" ht="12.75">
      <c r="A47" s="74">
        <v>40</v>
      </c>
      <c r="B47" s="77" t="s">
        <v>124</v>
      </c>
      <c r="C47" s="54" t="s">
        <v>125</v>
      </c>
      <c r="D47" s="54" t="s">
        <v>126</v>
      </c>
      <c r="E47" s="78" t="s">
        <v>127</v>
      </c>
      <c r="F47" s="80">
        <v>0.15</v>
      </c>
      <c r="G47" s="60">
        <v>0.2</v>
      </c>
      <c r="H47" s="58" t="s">
        <v>25</v>
      </c>
      <c r="I47" s="69">
        <f>F47*G47*K47</f>
        <v>0.03</v>
      </c>
      <c r="J47" s="69"/>
      <c r="K47" s="60">
        <v>1</v>
      </c>
      <c r="L47" s="70">
        <f>F38*G47*N47</f>
        <v>0</v>
      </c>
      <c r="M47" s="70"/>
      <c r="N47" s="60">
        <v>0</v>
      </c>
      <c r="O47" s="69">
        <f>F38*G47*Q47</f>
        <v>0</v>
      </c>
      <c r="P47" s="69"/>
      <c r="Q47" s="60">
        <v>0</v>
      </c>
      <c r="R47" s="62"/>
      <c r="S47" s="62"/>
      <c r="T47" s="62"/>
      <c r="U47" s="71">
        <v>0.125</v>
      </c>
      <c r="V47" s="8"/>
      <c r="W47" s="8"/>
      <c r="X47" s="8"/>
      <c r="Y47" s="8"/>
      <c r="Z47" s="8"/>
    </row>
    <row r="48" spans="1:26" ht="12.75">
      <c r="A48" s="74">
        <v>41</v>
      </c>
      <c r="B48" s="77" t="s">
        <v>128</v>
      </c>
      <c r="C48" s="54" t="s">
        <v>129</v>
      </c>
      <c r="D48" s="54" t="s">
        <v>130</v>
      </c>
      <c r="E48" s="78"/>
      <c r="F48" s="80"/>
      <c r="G48" s="60">
        <v>0.2</v>
      </c>
      <c r="H48" s="58" t="s">
        <v>25</v>
      </c>
      <c r="I48" s="69">
        <f>F47*G48*K48</f>
        <v>0.03</v>
      </c>
      <c r="J48" s="69"/>
      <c r="K48" s="60">
        <v>1</v>
      </c>
      <c r="L48" s="70">
        <f>F38*G48*N48</f>
        <v>0</v>
      </c>
      <c r="M48" s="70"/>
      <c r="N48" s="60">
        <v>0</v>
      </c>
      <c r="O48" s="69">
        <f>F38*G48*Q48</f>
        <v>0</v>
      </c>
      <c r="P48" s="69"/>
      <c r="Q48" s="60">
        <v>0</v>
      </c>
      <c r="R48" s="62"/>
      <c r="S48" s="62"/>
      <c r="T48" s="62"/>
      <c r="U48" s="71">
        <v>0.125</v>
      </c>
      <c r="V48" s="8"/>
      <c r="W48" s="8"/>
      <c r="X48" s="8"/>
      <c r="Y48" s="8"/>
      <c r="Z48" s="8"/>
    </row>
    <row r="49" spans="1:26" ht="25.5">
      <c r="A49" s="74">
        <v>42</v>
      </c>
      <c r="B49" s="77" t="s">
        <v>131</v>
      </c>
      <c r="C49" s="54" t="s">
        <v>125</v>
      </c>
      <c r="D49" s="54" t="s">
        <v>132</v>
      </c>
      <c r="E49" s="78"/>
      <c r="F49" s="80"/>
      <c r="G49" s="60">
        <v>0.2</v>
      </c>
      <c r="H49" s="58" t="s">
        <v>25</v>
      </c>
      <c r="I49" s="69">
        <f>F47*G49*K49</f>
        <v>0.03</v>
      </c>
      <c r="J49" s="69"/>
      <c r="K49" s="60">
        <v>1</v>
      </c>
      <c r="L49" s="70">
        <f>F38*G49*N49</f>
        <v>0</v>
      </c>
      <c r="M49" s="70"/>
      <c r="N49" s="60">
        <v>0</v>
      </c>
      <c r="O49" s="69">
        <f>F38*G49*Q49</f>
        <v>0</v>
      </c>
      <c r="P49" s="69"/>
      <c r="Q49" s="60">
        <v>0</v>
      </c>
      <c r="R49" s="62"/>
      <c r="S49" s="62"/>
      <c r="T49" s="62"/>
      <c r="U49" s="71">
        <v>0.125</v>
      </c>
      <c r="V49" s="8"/>
      <c r="W49" s="8"/>
      <c r="X49" s="8"/>
      <c r="Y49" s="8"/>
      <c r="Z49" s="8"/>
    </row>
    <row r="50" spans="1:26" ht="12.75">
      <c r="A50" s="74">
        <v>43</v>
      </c>
      <c r="B50" s="77" t="s">
        <v>133</v>
      </c>
      <c r="C50" s="54" t="s">
        <v>127</v>
      </c>
      <c r="D50" s="54" t="s">
        <v>134</v>
      </c>
      <c r="E50" s="78"/>
      <c r="F50" s="80"/>
      <c r="G50" s="60">
        <v>0.2</v>
      </c>
      <c r="H50" s="58" t="s">
        <v>25</v>
      </c>
      <c r="I50" s="69">
        <f>F47*G50*K50</f>
        <v>0.03</v>
      </c>
      <c r="J50" s="69"/>
      <c r="K50" s="60">
        <v>1</v>
      </c>
      <c r="L50" s="70">
        <f>F38*G50*N50</f>
        <v>0</v>
      </c>
      <c r="M50" s="70"/>
      <c r="N50" s="60">
        <v>0</v>
      </c>
      <c r="O50" s="69">
        <f>F38*G50*Q50</f>
        <v>0</v>
      </c>
      <c r="P50" s="69"/>
      <c r="Q50" s="60">
        <v>0</v>
      </c>
      <c r="R50" s="62"/>
      <c r="S50" s="62"/>
      <c r="T50" s="62"/>
      <c r="U50" s="71">
        <v>0.125</v>
      </c>
      <c r="V50" s="8"/>
      <c r="W50" s="8"/>
      <c r="X50" s="8"/>
      <c r="Y50" s="8"/>
      <c r="Z50" s="8"/>
    </row>
    <row r="51" spans="1:26" ht="12.75">
      <c r="A51" s="74">
        <v>44</v>
      </c>
      <c r="B51" s="77" t="s">
        <v>133</v>
      </c>
      <c r="C51" s="54" t="s">
        <v>135</v>
      </c>
      <c r="D51" s="54" t="s">
        <v>136</v>
      </c>
      <c r="E51" s="78"/>
      <c r="F51" s="80"/>
      <c r="G51" s="60">
        <v>0.2</v>
      </c>
      <c r="H51" s="58" t="s">
        <v>25</v>
      </c>
      <c r="I51" s="69">
        <f>F47*G51*K51</f>
        <v>0.03</v>
      </c>
      <c r="J51" s="69"/>
      <c r="K51" s="60">
        <v>1</v>
      </c>
      <c r="L51" s="70">
        <f>F39*G51*N51</f>
        <v>0</v>
      </c>
      <c r="M51" s="70"/>
      <c r="N51" s="60">
        <v>0</v>
      </c>
      <c r="O51" s="69">
        <f>F39*G51*Q51</f>
        <v>0</v>
      </c>
      <c r="P51" s="69"/>
      <c r="Q51" s="60">
        <v>0</v>
      </c>
      <c r="R51" s="62"/>
      <c r="S51" s="62"/>
      <c r="T51" s="62"/>
      <c r="U51" s="71">
        <v>0.125</v>
      </c>
      <c r="V51" s="8"/>
      <c r="W51" s="8"/>
      <c r="X51" s="8"/>
      <c r="Y51" s="8"/>
      <c r="Z51" s="8"/>
    </row>
    <row r="52" spans="1:26" ht="14.25">
      <c r="A52" s="44" t="s">
        <v>137</v>
      </c>
      <c r="B52" s="44"/>
      <c r="C52" s="44"/>
      <c r="D52" s="45"/>
      <c r="E52" s="46"/>
      <c r="F52" s="47"/>
      <c r="G52" s="48"/>
      <c r="H52" s="48"/>
      <c r="I52" s="49"/>
      <c r="J52" s="49"/>
      <c r="K52" s="48"/>
      <c r="L52" s="50"/>
      <c r="M52" s="50"/>
      <c r="N52" s="48"/>
      <c r="O52" s="48"/>
      <c r="P52" s="48"/>
      <c r="Q52" s="48"/>
      <c r="R52" s="48"/>
      <c r="S52" s="48"/>
      <c r="T52" s="48"/>
      <c r="U52" s="51"/>
      <c r="V52" s="6"/>
      <c r="W52" s="6"/>
      <c r="X52" s="6"/>
      <c r="Y52" s="6"/>
      <c r="Z52" s="6"/>
    </row>
    <row r="53" spans="1:26" ht="63.75">
      <c r="A53" s="52">
        <v>45</v>
      </c>
      <c r="B53" s="54" t="s">
        <v>138</v>
      </c>
      <c r="C53" s="54" t="s">
        <v>138</v>
      </c>
      <c r="D53" s="54" t="s">
        <v>139</v>
      </c>
      <c r="E53" s="78" t="s">
        <v>140</v>
      </c>
      <c r="F53" s="80">
        <v>0.1</v>
      </c>
      <c r="G53" s="57">
        <v>0.2</v>
      </c>
      <c r="H53" s="58" t="s">
        <v>25</v>
      </c>
      <c r="I53" s="59">
        <f>F53*G53*K53</f>
        <v>2.0000000000000004E-2</v>
      </c>
      <c r="J53" s="59"/>
      <c r="K53" s="60">
        <v>1</v>
      </c>
      <c r="L53" s="61">
        <f>F52*G53*N53</f>
        <v>0</v>
      </c>
      <c r="M53" s="61"/>
      <c r="N53" s="60">
        <v>0</v>
      </c>
      <c r="O53" s="59">
        <f>F52*G53*Q53</f>
        <v>0</v>
      </c>
      <c r="P53" s="59"/>
      <c r="Q53" s="60">
        <v>0</v>
      </c>
      <c r="R53" s="58"/>
      <c r="S53" s="58"/>
      <c r="T53" s="58"/>
      <c r="U53" s="63">
        <v>0.125</v>
      </c>
      <c r="V53" s="8"/>
      <c r="W53" s="8"/>
      <c r="X53" s="8"/>
      <c r="Y53" s="8"/>
      <c r="Z53" s="8"/>
    </row>
    <row r="54" spans="1:26" ht="51">
      <c r="A54" s="52">
        <v>46</v>
      </c>
      <c r="B54" s="54" t="s">
        <v>141</v>
      </c>
      <c r="C54" s="54" t="s">
        <v>141</v>
      </c>
      <c r="D54" s="54" t="s">
        <v>142</v>
      </c>
      <c r="E54" s="78"/>
      <c r="F54" s="80"/>
      <c r="G54" s="57">
        <v>0.2</v>
      </c>
      <c r="H54" s="58" t="s">
        <v>25</v>
      </c>
      <c r="I54" s="59">
        <f>F53*G54*K54</f>
        <v>2.0000000000000004E-2</v>
      </c>
      <c r="J54" s="59"/>
      <c r="K54" s="60">
        <v>1</v>
      </c>
      <c r="L54" s="61"/>
      <c r="M54" s="61"/>
      <c r="N54" s="60"/>
      <c r="O54" s="59"/>
      <c r="P54" s="59"/>
      <c r="Q54" s="60"/>
      <c r="R54" s="58"/>
      <c r="S54" s="58"/>
      <c r="T54" s="58"/>
      <c r="U54" s="63"/>
      <c r="V54" s="8"/>
      <c r="W54" s="8"/>
      <c r="X54" s="8"/>
      <c r="Y54" s="8"/>
      <c r="Z54" s="8"/>
    </row>
    <row r="55" spans="1:26" ht="25.5">
      <c r="A55" s="74">
        <v>47</v>
      </c>
      <c r="B55" s="54" t="s">
        <v>143</v>
      </c>
      <c r="C55" s="54" t="s">
        <v>143</v>
      </c>
      <c r="D55" s="54" t="s">
        <v>144</v>
      </c>
      <c r="E55" s="78"/>
      <c r="F55" s="80"/>
      <c r="G55" s="60">
        <v>0.2</v>
      </c>
      <c r="H55" s="58" t="s">
        <v>25</v>
      </c>
      <c r="I55" s="69">
        <f>F53*G55*K55</f>
        <v>2.0000000000000004E-2</v>
      </c>
      <c r="J55" s="69"/>
      <c r="K55" s="60">
        <v>1</v>
      </c>
      <c r="L55" s="70">
        <f>F53*G55*N55</f>
        <v>0</v>
      </c>
      <c r="M55" s="70"/>
      <c r="N55" s="60">
        <v>0</v>
      </c>
      <c r="O55" s="69">
        <f>F53*G55*Q55</f>
        <v>0</v>
      </c>
      <c r="P55" s="69"/>
      <c r="Q55" s="60">
        <v>0</v>
      </c>
      <c r="R55" s="62"/>
      <c r="S55" s="62"/>
      <c r="T55" s="62"/>
      <c r="U55" s="71">
        <v>0.125</v>
      </c>
      <c r="V55" s="8"/>
      <c r="W55" s="8"/>
      <c r="X55" s="8"/>
      <c r="Y55" s="8"/>
      <c r="Z55" s="8"/>
    </row>
    <row r="56" spans="1:26" ht="25.5">
      <c r="A56" s="74">
        <v>48</v>
      </c>
      <c r="B56" s="54" t="s">
        <v>145</v>
      </c>
      <c r="C56" s="54" t="s">
        <v>145</v>
      </c>
      <c r="D56" s="54" t="s">
        <v>146</v>
      </c>
      <c r="E56" s="78"/>
      <c r="F56" s="80"/>
      <c r="G56" s="60">
        <v>0.2</v>
      </c>
      <c r="H56" s="58" t="s">
        <v>25</v>
      </c>
      <c r="I56" s="69">
        <f>F53*G56*K56</f>
        <v>2.0000000000000004E-2</v>
      </c>
      <c r="J56" s="69"/>
      <c r="K56" s="60">
        <v>1</v>
      </c>
      <c r="L56" s="70"/>
      <c r="M56" s="70"/>
      <c r="N56" s="60"/>
      <c r="O56" s="69"/>
      <c r="P56" s="69"/>
      <c r="Q56" s="60"/>
      <c r="R56" s="62"/>
      <c r="S56" s="62"/>
      <c r="T56" s="62"/>
      <c r="U56" s="71"/>
      <c r="V56" s="8"/>
      <c r="W56" s="8"/>
      <c r="X56" s="8"/>
      <c r="Y56" s="8"/>
      <c r="Z56" s="8"/>
    </row>
    <row r="57" spans="1:26" ht="12.75">
      <c r="A57" s="74">
        <v>49</v>
      </c>
      <c r="B57" s="54" t="s">
        <v>147</v>
      </c>
      <c r="C57" s="54" t="s">
        <v>147</v>
      </c>
      <c r="D57" s="54"/>
      <c r="E57" s="78"/>
      <c r="F57" s="80"/>
      <c r="G57" s="60">
        <v>0.2</v>
      </c>
      <c r="H57" s="58" t="s">
        <v>25</v>
      </c>
      <c r="I57" s="69">
        <f>F53*G57*K57</f>
        <v>2.0000000000000004E-2</v>
      </c>
      <c r="J57" s="69"/>
      <c r="K57" s="60">
        <v>1</v>
      </c>
      <c r="L57" s="70">
        <f>F53*G57*N57</f>
        <v>0</v>
      </c>
      <c r="M57" s="70"/>
      <c r="N57" s="60">
        <v>0</v>
      </c>
      <c r="O57" s="69">
        <f>F53*G57*Q57</f>
        <v>0</v>
      </c>
      <c r="P57" s="69"/>
      <c r="Q57" s="60">
        <v>0</v>
      </c>
      <c r="R57" s="62"/>
      <c r="S57" s="62"/>
      <c r="T57" s="62"/>
      <c r="U57" s="71">
        <v>0.125</v>
      </c>
      <c r="V57" s="8"/>
      <c r="W57" s="8"/>
      <c r="X57" s="8"/>
      <c r="Y57" s="8"/>
      <c r="Z57" s="8"/>
    </row>
    <row r="58" spans="1:26" ht="14.25">
      <c r="A58" s="44" t="s">
        <v>148</v>
      </c>
      <c r="B58" s="44"/>
      <c r="C58" s="44"/>
      <c r="D58" s="45"/>
      <c r="E58" s="46"/>
      <c r="F58" s="47"/>
      <c r="G58" s="48"/>
      <c r="H58" s="48"/>
      <c r="I58" s="49"/>
      <c r="J58" s="49"/>
      <c r="K58" s="48"/>
      <c r="L58" s="50"/>
      <c r="M58" s="50"/>
      <c r="N58" s="48"/>
      <c r="O58" s="48"/>
      <c r="P58" s="48"/>
      <c r="Q58" s="48"/>
      <c r="R58" s="48"/>
      <c r="S58" s="48"/>
      <c r="T58" s="48"/>
      <c r="U58" s="51"/>
      <c r="V58" s="6"/>
      <c r="W58" s="6"/>
      <c r="X58" s="6"/>
      <c r="Y58" s="6"/>
      <c r="Z58" s="6"/>
    </row>
    <row r="59" spans="1:26" ht="12.75">
      <c r="A59" s="52">
        <v>50</v>
      </c>
      <c r="B59" s="54" t="s">
        <v>149</v>
      </c>
      <c r="C59" s="54" t="s">
        <v>149</v>
      </c>
      <c r="D59" s="54"/>
      <c r="E59" s="58"/>
      <c r="F59" s="57">
        <v>0.05</v>
      </c>
      <c r="G59" s="57">
        <v>0.5</v>
      </c>
      <c r="H59" s="58" t="s">
        <v>25</v>
      </c>
      <c r="I59" s="59">
        <f>F59*G59*K59</f>
        <v>2.5000000000000001E-2</v>
      </c>
      <c r="J59" s="59"/>
      <c r="K59" s="60">
        <v>1</v>
      </c>
      <c r="L59" s="61">
        <f>F58*G59*N59</f>
        <v>0</v>
      </c>
      <c r="M59" s="61"/>
      <c r="N59" s="60">
        <v>0</v>
      </c>
      <c r="O59" s="59">
        <f>F58*G59*Q59</f>
        <v>0</v>
      </c>
      <c r="P59" s="59"/>
      <c r="Q59" s="60">
        <v>0</v>
      </c>
      <c r="R59" s="58"/>
      <c r="S59" s="58"/>
      <c r="T59" s="58"/>
      <c r="U59" s="63">
        <v>0.125</v>
      </c>
      <c r="V59" s="8"/>
      <c r="W59" s="8"/>
      <c r="X59" s="8"/>
      <c r="Y59" s="8"/>
      <c r="Z59" s="8"/>
    </row>
    <row r="60" spans="1:26" ht="12.75">
      <c r="A60" s="74">
        <v>51</v>
      </c>
      <c r="B60" s="54" t="s">
        <v>150</v>
      </c>
      <c r="C60" s="54" t="s">
        <v>150</v>
      </c>
      <c r="D60" s="54"/>
      <c r="E60" s="58"/>
      <c r="F60" s="58"/>
      <c r="G60" s="60">
        <v>0.5</v>
      </c>
      <c r="H60" s="58" t="s">
        <v>25</v>
      </c>
      <c r="I60" s="69">
        <f>F59*G60*K60</f>
        <v>2.5000000000000001E-2</v>
      </c>
      <c r="J60" s="69"/>
      <c r="K60" s="60">
        <v>1</v>
      </c>
      <c r="L60" s="70">
        <f>F59*G60*N60</f>
        <v>0</v>
      </c>
      <c r="M60" s="70"/>
      <c r="N60" s="60">
        <v>0</v>
      </c>
      <c r="O60" s="69">
        <f>F59*G60*Q60</f>
        <v>0</v>
      </c>
      <c r="P60" s="69"/>
      <c r="Q60" s="60">
        <v>0</v>
      </c>
      <c r="R60" s="62"/>
      <c r="S60" s="62"/>
      <c r="T60" s="62"/>
      <c r="U60" s="71">
        <v>0.125</v>
      </c>
      <c r="V60" s="8"/>
      <c r="W60" s="8"/>
      <c r="X60" s="8"/>
      <c r="Y60" s="8"/>
      <c r="Z60" s="8"/>
    </row>
    <row r="61" spans="1:26" ht="12.75">
      <c r="B61" s="6"/>
      <c r="F61" s="11"/>
      <c r="G61" s="5"/>
      <c r="H61" s="5"/>
      <c r="I61" s="12"/>
      <c r="J61" s="12"/>
      <c r="K61" s="5"/>
      <c r="L61" s="13"/>
      <c r="M61" s="13"/>
      <c r="N61" s="5"/>
      <c r="O61" s="5"/>
      <c r="P61" s="5"/>
      <c r="Q61" s="5"/>
      <c r="R61" s="5"/>
      <c r="S61" s="5"/>
      <c r="T61" s="5"/>
      <c r="U61" s="14"/>
      <c r="V61" s="8"/>
      <c r="W61" s="8"/>
      <c r="X61" s="8"/>
      <c r="Y61" s="8"/>
      <c r="Z61" s="8"/>
    </row>
    <row r="62" spans="1:26" ht="12.75">
      <c r="F62" s="11"/>
      <c r="G62" s="5"/>
      <c r="H62" s="5"/>
      <c r="I62" s="12">
        <f>SUM(I4:I60)</f>
        <v>1.0000000000000007</v>
      </c>
      <c r="J62" s="12"/>
      <c r="K62" s="15"/>
      <c r="L62" s="13">
        <f>SUM(L4:L60)</f>
        <v>0</v>
      </c>
      <c r="M62" s="13"/>
      <c r="N62" s="5"/>
      <c r="O62" s="12">
        <f>SUM(O4:O60)</f>
        <v>0</v>
      </c>
      <c r="P62" s="12"/>
      <c r="Q62" s="5"/>
      <c r="R62" s="5"/>
      <c r="S62" s="5"/>
      <c r="T62" s="5"/>
      <c r="U62" s="14" t="e">
        <v>#NAME?</v>
      </c>
      <c r="V62" s="8"/>
      <c r="W62" s="8"/>
      <c r="X62" s="8"/>
      <c r="Y62" s="8"/>
      <c r="Z62" s="8"/>
    </row>
    <row r="63" spans="1:26" ht="12.75">
      <c r="F63" s="11"/>
      <c r="G63" s="5"/>
      <c r="H63" s="5"/>
      <c r="I63" s="12"/>
      <c r="J63" s="12"/>
      <c r="K63" s="15"/>
      <c r="L63" s="13"/>
      <c r="M63" s="13"/>
      <c r="N63" s="5"/>
      <c r="O63" s="5"/>
      <c r="P63" s="5"/>
      <c r="Q63" s="5"/>
      <c r="R63" s="5"/>
      <c r="S63" s="5"/>
      <c r="T63" s="5"/>
      <c r="U63" s="14"/>
      <c r="V63" s="8"/>
      <c r="W63" s="8"/>
      <c r="X63" s="8"/>
      <c r="Y63" s="8"/>
      <c r="Z63" s="8"/>
    </row>
  </sheetData>
  <mergeCells count="11">
    <mergeCell ref="E22:E31"/>
    <mergeCell ref="F22:F31"/>
    <mergeCell ref="E4:E20"/>
    <mergeCell ref="F4:F20"/>
    <mergeCell ref="E42:E45"/>
    <mergeCell ref="E47:E51"/>
    <mergeCell ref="F47:F51"/>
    <mergeCell ref="E53:E57"/>
    <mergeCell ref="F53:F57"/>
    <mergeCell ref="E33:E40"/>
    <mergeCell ref="F33:F40"/>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dimension ref="A1:AMK7"/>
  <sheetViews>
    <sheetView workbookViewId="0">
      <selection activeCell="D9" activeCellId="1" sqref="O43:O45 D9"/>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2" t="s">
        <v>151</v>
      </c>
      <c r="C1" s="3"/>
      <c r="D1" s="3"/>
      <c r="E1" s="3"/>
      <c r="F1" s="3"/>
      <c r="G1" s="3"/>
      <c r="H1" s="3"/>
      <c r="I1" s="3"/>
    </row>
    <row r="2" spans="2:9" ht="18">
      <c r="B2" s="2" t="s">
        <v>152</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156</v>
      </c>
      <c r="D7" s="21" t="s">
        <v>157</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dimension ref="A1:AMK7"/>
  <sheetViews>
    <sheetView workbookViewId="0">
      <selection activeCell="C7" activeCellId="1" sqref="O43:O45 C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158</v>
      </c>
      <c r="C1" s="3"/>
      <c r="D1" s="3"/>
      <c r="E1" s="3"/>
      <c r="F1" s="3"/>
      <c r="G1" s="3"/>
      <c r="H1" s="3"/>
      <c r="I1" s="3"/>
    </row>
    <row r="2" spans="2:9" ht="18">
      <c r="B2" s="2" t="s">
        <v>159</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160</v>
      </c>
      <c r="D7" s="21" t="s">
        <v>157</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dimension ref="A1:AMK7"/>
  <sheetViews>
    <sheetView workbookViewId="0">
      <selection activeCell="C10" activeCellId="1" sqref="O43:O45 C10"/>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161</v>
      </c>
      <c r="C1" s="3"/>
      <c r="D1" s="3"/>
      <c r="E1" s="3"/>
      <c r="F1" s="3"/>
      <c r="G1" s="3"/>
      <c r="H1" s="3"/>
      <c r="I1" s="3"/>
    </row>
    <row r="2" spans="2:9" ht="18">
      <c r="B2" s="2" t="s">
        <v>162</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163</v>
      </c>
      <c r="D7" s="21"/>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dimension ref="A1:AMK7"/>
  <sheetViews>
    <sheetView workbookViewId="0">
      <selection activeCell="C17" activeCellId="1" sqref="O43:O45 C1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161</v>
      </c>
      <c r="C1" s="3"/>
      <c r="D1" s="3"/>
      <c r="E1" s="3"/>
      <c r="F1" s="3"/>
      <c r="G1" s="3"/>
      <c r="H1" s="3"/>
      <c r="I1" s="3"/>
    </row>
    <row r="2" spans="2:9" ht="18">
      <c r="B2" s="2" t="s">
        <v>164</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165</v>
      </c>
      <c r="D7" s="21"/>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dimension ref="A1:AMK7"/>
  <sheetViews>
    <sheetView workbookViewId="0">
      <selection activeCell="D15" activeCellId="1" sqref="O43:O45 D15"/>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166</v>
      </c>
      <c r="C1" s="3"/>
      <c r="D1" s="3"/>
      <c r="E1" s="3"/>
      <c r="F1" s="3"/>
      <c r="G1" s="3"/>
      <c r="H1" s="3"/>
      <c r="I1" s="3"/>
    </row>
    <row r="2" spans="2:9" ht="18">
      <c r="B2" s="2" t="s">
        <v>167</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168</v>
      </c>
      <c r="D7" s="21" t="s">
        <v>169</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dimension ref="A1:AMK7"/>
  <sheetViews>
    <sheetView topLeftCell="A2" workbookViewId="0">
      <selection activeCell="D26" activeCellId="1" sqref="O43:O45 D26"/>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166</v>
      </c>
      <c r="C1" s="3"/>
      <c r="D1" s="3"/>
      <c r="E1" s="3"/>
      <c r="F1" s="3"/>
      <c r="G1" s="3"/>
      <c r="H1" s="3"/>
      <c r="I1" s="3"/>
    </row>
    <row r="2" spans="2:9" ht="18">
      <c r="B2" s="2" t="s">
        <v>170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171</v>
      </c>
      <c r="D7" s="21" t="s">
        <v>169</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dimension ref="A1:AMK7"/>
  <sheetViews>
    <sheetView workbookViewId="0">
      <selection activeCell="D7" activeCellId="1" sqref="O43:O45 D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166</v>
      </c>
      <c r="C1" s="3"/>
      <c r="D1" s="3"/>
      <c r="E1" s="3"/>
      <c r="F1" s="3"/>
      <c r="G1" s="3"/>
      <c r="H1" s="3"/>
      <c r="I1" s="3"/>
    </row>
    <row r="2" spans="2:9" ht="18">
      <c r="B2" s="2" t="s">
        <v>172</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173</v>
      </c>
      <c r="D7" s="21" t="s">
        <v>157</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dimension ref="A1:AMK7"/>
  <sheetViews>
    <sheetView workbookViewId="0">
      <selection activeCell="C20" activeCellId="1" sqref="O43:O45 C20"/>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174</v>
      </c>
      <c r="C1" s="3"/>
      <c r="D1" s="3"/>
      <c r="E1" s="3"/>
      <c r="F1" s="3"/>
      <c r="G1" s="3"/>
      <c r="H1" s="3"/>
      <c r="I1" s="3"/>
    </row>
    <row r="2" spans="2:9" ht="18">
      <c r="B2" s="2" t="s">
        <v>175</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176</v>
      </c>
      <c r="D7" s="21"/>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dimension ref="A1:AMK7"/>
  <sheetViews>
    <sheetView workbookViewId="0">
      <selection activeCell="A8" activeCellId="1" sqref="O43:O45 A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177</v>
      </c>
      <c r="C1" s="3"/>
      <c r="D1" s="3"/>
      <c r="E1" s="3"/>
      <c r="F1" s="3"/>
      <c r="G1" s="3"/>
      <c r="H1" s="3"/>
      <c r="I1" s="3"/>
    </row>
    <row r="2" spans="2:9" ht="18">
      <c r="B2" s="2" t="s">
        <v>178</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179</v>
      </c>
      <c r="D7" s="21" t="s">
        <v>169</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dimension ref="A1:AMK7"/>
  <sheetViews>
    <sheetView workbookViewId="0">
      <selection activeCell="C19" activeCellId="1" sqref="O43:O45 C19"/>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180</v>
      </c>
      <c r="C1" s="3"/>
      <c r="D1" s="3"/>
      <c r="E1" s="3"/>
      <c r="F1" s="3"/>
      <c r="G1" s="3"/>
      <c r="H1" s="3"/>
      <c r="I1" s="3"/>
    </row>
    <row r="2" spans="2:9" ht="18">
      <c r="B2" s="2" t="s">
        <v>181</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2" t="s">
        <v>182</v>
      </c>
      <c r="D7" s="21" t="s">
        <v>183</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dimension ref="A1:AMK7"/>
  <sheetViews>
    <sheetView workbookViewId="0">
      <selection activeCell="D22" activeCellId="1" sqref="O43:O45 D22"/>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184</v>
      </c>
      <c r="C1" s="3"/>
      <c r="D1" s="3"/>
      <c r="E1" s="3"/>
      <c r="F1" s="3"/>
      <c r="G1" s="3"/>
      <c r="H1" s="3"/>
      <c r="I1" s="3"/>
    </row>
    <row r="2" spans="2:9" ht="18">
      <c r="B2" s="2" t="s">
        <v>185</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3" t="s">
        <v>155</v>
      </c>
      <c r="C7" s="24" t="s">
        <v>186</v>
      </c>
      <c r="D7" s="24" t="s">
        <v>183</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dimension ref="A1:AMK7"/>
  <sheetViews>
    <sheetView workbookViewId="0">
      <selection activeCell="D17" activeCellId="1" sqref="O43:O45 D1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184</v>
      </c>
      <c r="C1" s="3"/>
      <c r="D1" s="3"/>
      <c r="E1" s="3"/>
      <c r="F1" s="3"/>
      <c r="G1" s="3"/>
      <c r="H1" s="3"/>
      <c r="I1" s="3"/>
    </row>
    <row r="2" spans="2:9" ht="18">
      <c r="B2" s="2" t="s">
        <v>187</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188</v>
      </c>
      <c r="D7" s="24" t="s">
        <v>183</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dimension ref="A1:AMK7"/>
  <sheetViews>
    <sheetView workbookViewId="0">
      <selection activeCell="D18" activeCellId="1" sqref="O43:O45 D1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189</v>
      </c>
      <c r="C1" s="3"/>
      <c r="D1" s="3"/>
      <c r="E1" s="3"/>
      <c r="F1" s="3"/>
      <c r="G1" s="3"/>
      <c r="H1" s="3"/>
      <c r="I1" s="3"/>
    </row>
    <row r="2" spans="2:9" ht="18">
      <c r="B2" s="2" t="s">
        <v>190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191</v>
      </c>
      <c r="D7" s="24" t="s">
        <v>183</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dimension ref="A1:AMK7"/>
  <sheetViews>
    <sheetView workbookViewId="0">
      <selection activeCell="C13" activeCellId="1" sqref="O43:O45 C13"/>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192</v>
      </c>
      <c r="C1" s="3"/>
      <c r="D1" s="3"/>
      <c r="E1" s="3"/>
      <c r="F1" s="3"/>
      <c r="G1" s="3"/>
      <c r="H1" s="3"/>
      <c r="I1" s="3"/>
    </row>
    <row r="2" spans="2:9" ht="18">
      <c r="B2" s="2" t="s">
        <v>193</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194</v>
      </c>
      <c r="D7" s="21"/>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dimension ref="A1:AMK7"/>
  <sheetViews>
    <sheetView workbookViewId="0">
      <selection activeCell="D7" activeCellId="1" sqref="O43:O45 D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195</v>
      </c>
      <c r="C1" s="3"/>
      <c r="D1" s="3"/>
      <c r="E1" s="3"/>
      <c r="F1" s="3"/>
      <c r="G1" s="3"/>
      <c r="H1" s="3"/>
      <c r="I1" s="3"/>
    </row>
    <row r="2" spans="2:9" ht="18">
      <c r="B2" s="2" t="s">
        <v>196</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197</v>
      </c>
      <c r="D7" s="24" t="s">
        <v>183</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dimension ref="A1:AMK7"/>
  <sheetViews>
    <sheetView topLeftCell="A2" workbookViewId="0">
      <selection activeCell="D22" activeCellId="1" sqref="O43:O45 D22"/>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198</v>
      </c>
      <c r="C1" s="3"/>
      <c r="D1" s="3"/>
      <c r="E1" s="3"/>
      <c r="F1" s="3"/>
      <c r="G1" s="3"/>
      <c r="H1" s="3"/>
      <c r="I1" s="3"/>
    </row>
    <row r="2" spans="2:9" ht="18">
      <c r="B2" s="2" t="s">
        <v>199</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38.25">
      <c r="B7" s="20" t="s">
        <v>155</v>
      </c>
      <c r="C7" s="21" t="s">
        <v>200</v>
      </c>
      <c r="D7" s="24" t="s">
        <v>183</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dimension ref="A1:AMK7"/>
  <sheetViews>
    <sheetView workbookViewId="0">
      <selection activeCell="D7" activeCellId="1" sqref="O43:O45 D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201</v>
      </c>
      <c r="C1" s="3"/>
      <c r="D1" s="3"/>
      <c r="E1" s="3"/>
      <c r="F1" s="3"/>
      <c r="G1" s="3"/>
      <c r="H1" s="3"/>
      <c r="I1" s="3"/>
    </row>
    <row r="2" spans="2:9" ht="18">
      <c r="B2" s="2" t="s">
        <v>202</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12.75">
      <c r="B7" s="20" t="s">
        <v>155</v>
      </c>
      <c r="C7" s="21" t="s">
        <v>203</v>
      </c>
      <c r="D7" s="21"/>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9.xml><?xml version="1.0" encoding="utf-8"?>
<worksheet xmlns="http://schemas.openxmlformats.org/spreadsheetml/2006/main" xmlns:r="http://schemas.openxmlformats.org/officeDocument/2006/relationships">
  <dimension ref="A1:AMK12"/>
  <sheetViews>
    <sheetView workbookViewId="0">
      <selection activeCell="D12" activeCellId="1" sqref="O43:O45 D12"/>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204</v>
      </c>
      <c r="C1" s="3"/>
      <c r="D1" s="3"/>
      <c r="E1" s="3"/>
      <c r="F1" s="3"/>
      <c r="G1" s="3"/>
      <c r="H1" s="3"/>
      <c r="I1" s="3"/>
    </row>
    <row r="2" spans="2:9" ht="18">
      <c r="B2" s="2" t="s">
        <v>205</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206</v>
      </c>
      <c r="D7" s="21" t="s">
        <v>207</v>
      </c>
      <c r="E7" s="18"/>
      <c r="F7" s="18"/>
      <c r="G7" s="18"/>
      <c r="H7" s="18"/>
      <c r="I7" s="18"/>
    </row>
    <row r="8" spans="2:9" ht="51">
      <c r="B8" s="20" t="s">
        <v>208</v>
      </c>
      <c r="C8" s="21" t="s">
        <v>209</v>
      </c>
      <c r="D8" s="21" t="s">
        <v>210</v>
      </c>
    </row>
    <row r="9" spans="2:9" ht="25.5">
      <c r="B9" s="19" t="s">
        <v>211</v>
      </c>
      <c r="C9" s="21" t="s">
        <v>212</v>
      </c>
      <c r="D9" s="21" t="s">
        <v>213</v>
      </c>
    </row>
    <row r="10" spans="2:9" ht="51">
      <c r="B10" s="20" t="s">
        <v>214</v>
      </c>
      <c r="C10" s="21" t="s">
        <v>215</v>
      </c>
      <c r="D10" s="21" t="s">
        <v>216</v>
      </c>
      <c r="E10" s="18"/>
      <c r="F10" s="18"/>
      <c r="G10" s="18"/>
      <c r="H10" s="18"/>
      <c r="I10" s="18"/>
    </row>
    <row r="11" spans="2:9" ht="25.5">
      <c r="B11" s="20" t="s">
        <v>217</v>
      </c>
      <c r="C11" s="21" t="s">
        <v>218</v>
      </c>
      <c r="D11" s="21" t="s">
        <v>219</v>
      </c>
    </row>
    <row r="12" spans="2:9" ht="63.75">
      <c r="B12" s="19" t="s">
        <v>220</v>
      </c>
      <c r="C12" s="21" t="s">
        <v>221</v>
      </c>
      <c r="D12" s="21" t="s">
        <v>222</v>
      </c>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0.xml><?xml version="1.0" encoding="utf-8"?>
<worksheet xmlns="http://schemas.openxmlformats.org/spreadsheetml/2006/main" xmlns:r="http://schemas.openxmlformats.org/officeDocument/2006/relationships">
  <dimension ref="A1:AMK9"/>
  <sheetViews>
    <sheetView workbookViewId="0">
      <selection activeCell="D8" activeCellId="1" sqref="O43:O45 D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223</v>
      </c>
      <c r="C1" s="3"/>
      <c r="D1" s="3"/>
      <c r="E1" s="3"/>
      <c r="F1" s="3"/>
      <c r="G1" s="3"/>
      <c r="H1" s="3"/>
      <c r="I1" s="3"/>
    </row>
    <row r="2" spans="2:9" ht="18">
      <c r="B2" s="2" t="s">
        <v>224</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76.5">
      <c r="B7" s="20" t="s">
        <v>155</v>
      </c>
      <c r="C7" s="21" t="s">
        <v>225</v>
      </c>
      <c r="D7" s="21" t="s">
        <v>226</v>
      </c>
      <c r="E7" s="18"/>
      <c r="F7" s="18"/>
      <c r="G7" s="18"/>
      <c r="H7" s="18"/>
      <c r="I7" s="18"/>
    </row>
    <row r="8" spans="2:9" ht="51">
      <c r="B8" s="19" t="s">
        <v>208</v>
      </c>
      <c r="C8" s="21" t="s">
        <v>227</v>
      </c>
      <c r="D8" s="21" t="s">
        <v>216</v>
      </c>
    </row>
    <row r="9" spans="2:9" ht="76.5">
      <c r="B9" s="20" t="s">
        <v>211</v>
      </c>
      <c r="C9" s="21" t="s">
        <v>228</v>
      </c>
      <c r="D9" s="21" t="s">
        <v>229</v>
      </c>
      <c r="E9" s="18"/>
      <c r="F9" s="18"/>
      <c r="G9" s="18"/>
      <c r="H9" s="18"/>
      <c r="I9" s="18"/>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1.xml><?xml version="1.0" encoding="utf-8"?>
<worksheet xmlns="http://schemas.openxmlformats.org/spreadsheetml/2006/main" xmlns:r="http://schemas.openxmlformats.org/officeDocument/2006/relationships">
  <dimension ref="A1:AMK12"/>
  <sheetViews>
    <sheetView workbookViewId="0">
      <selection activeCell="C9" activeCellId="1" sqref="O43:O45 C9"/>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230</v>
      </c>
      <c r="C1" s="3"/>
      <c r="D1" s="3"/>
      <c r="E1" s="3"/>
      <c r="F1" s="3"/>
      <c r="G1" s="3"/>
      <c r="H1" s="3"/>
      <c r="I1" s="3"/>
    </row>
    <row r="2" spans="2:9" ht="18">
      <c r="B2" s="2" t="s">
        <v>231</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232</v>
      </c>
      <c r="D7" s="21" t="s">
        <v>207</v>
      </c>
      <c r="E7" s="18"/>
      <c r="F7" s="18"/>
      <c r="G7" s="18"/>
      <c r="H7" s="18"/>
      <c r="I7" s="18"/>
    </row>
    <row r="8" spans="2:9" ht="63.75">
      <c r="B8" s="20" t="s">
        <v>208</v>
      </c>
      <c r="C8" s="21" t="s">
        <v>209</v>
      </c>
      <c r="D8" s="21" t="s">
        <v>233</v>
      </c>
    </row>
    <row r="9" spans="2:9" ht="25.5">
      <c r="B9" s="19" t="s">
        <v>211</v>
      </c>
      <c r="C9" s="21" t="s">
        <v>212</v>
      </c>
      <c r="D9" s="21" t="s">
        <v>213</v>
      </c>
    </row>
    <row r="10" spans="2:9" ht="51">
      <c r="B10" s="20" t="s">
        <v>214</v>
      </c>
      <c r="C10" s="21" t="s">
        <v>215</v>
      </c>
      <c r="D10" s="21" t="s">
        <v>234</v>
      </c>
      <c r="E10" s="18"/>
      <c r="F10" s="18"/>
      <c r="G10" s="18"/>
      <c r="H10" s="18"/>
      <c r="I10" s="18"/>
    </row>
    <row r="11" spans="2:9" ht="25.5">
      <c r="B11" s="20" t="s">
        <v>217</v>
      </c>
      <c r="C11" s="21" t="s">
        <v>235</v>
      </c>
      <c r="D11" s="21" t="s">
        <v>219</v>
      </c>
    </row>
    <row r="12" spans="2:9" ht="76.5">
      <c r="B12" s="19" t="s">
        <v>220</v>
      </c>
      <c r="C12" s="21" t="s">
        <v>221</v>
      </c>
      <c r="D12" s="21" t="s">
        <v>236</v>
      </c>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2.xml><?xml version="1.0" encoding="utf-8"?>
<worksheet xmlns="http://schemas.openxmlformats.org/spreadsheetml/2006/main" xmlns:r="http://schemas.openxmlformats.org/officeDocument/2006/relationships">
  <dimension ref="A1:AMK10"/>
  <sheetViews>
    <sheetView workbookViewId="0">
      <selection activeCell="C7" activeCellId="1" sqref="O43:O45 C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237</v>
      </c>
      <c r="C1" s="3"/>
      <c r="D1" s="3"/>
      <c r="E1" s="3"/>
      <c r="F1" s="3"/>
      <c r="G1" s="3"/>
      <c r="H1" s="3"/>
      <c r="I1" s="3"/>
    </row>
    <row r="2" spans="2:9" ht="18">
      <c r="B2" s="2" t="s">
        <v>238</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239</v>
      </c>
      <c r="D7" s="21" t="s">
        <v>240</v>
      </c>
      <c r="E7" s="18"/>
      <c r="F7" s="18"/>
      <c r="G7" s="18"/>
      <c r="H7" s="18"/>
      <c r="I7" s="18"/>
    </row>
    <row r="8" spans="2:9" ht="63.75">
      <c r="B8" s="20"/>
      <c r="C8" s="21" t="s">
        <v>241</v>
      </c>
      <c r="D8" s="21" t="s">
        <v>242</v>
      </c>
      <c r="E8" s="18"/>
      <c r="F8" s="18"/>
      <c r="G8" s="18"/>
      <c r="H8" s="18"/>
      <c r="I8" s="18"/>
    </row>
    <row r="9" spans="2:9" ht="51">
      <c r="B9" s="19" t="s">
        <v>208</v>
      </c>
      <c r="C9" s="21" t="s">
        <v>227</v>
      </c>
      <c r="D9" s="21" t="s">
        <v>243</v>
      </c>
    </row>
    <row r="10" spans="2:9" ht="89.25">
      <c r="B10" s="20" t="s">
        <v>211</v>
      </c>
      <c r="C10" s="21" t="s">
        <v>228</v>
      </c>
      <c r="D10" s="21" t="s">
        <v>244</v>
      </c>
      <c r="E10" s="18"/>
      <c r="F10" s="18"/>
      <c r="G10" s="18"/>
      <c r="H10" s="18"/>
      <c r="I10" s="18"/>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3.xml><?xml version="1.0" encoding="utf-8"?>
<worksheet xmlns="http://schemas.openxmlformats.org/spreadsheetml/2006/main" xmlns:r="http://schemas.openxmlformats.org/officeDocument/2006/relationships">
  <dimension ref="A1:AMK9"/>
  <sheetViews>
    <sheetView workbookViewId="0">
      <selection activeCell="C9" activeCellId="1" sqref="O43:O45 C9"/>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245</v>
      </c>
      <c r="C1" s="3"/>
      <c r="D1" s="3"/>
      <c r="E1" s="3"/>
      <c r="F1" s="3"/>
      <c r="G1" s="3"/>
      <c r="H1" s="3"/>
      <c r="I1" s="3"/>
    </row>
    <row r="2" spans="2:9" ht="18">
      <c r="B2" s="2" t="s">
        <v>246</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206</v>
      </c>
      <c r="D7" s="21" t="s">
        <v>207</v>
      </c>
      <c r="E7" s="18"/>
      <c r="F7" s="18"/>
      <c r="G7" s="18"/>
      <c r="H7" s="18"/>
      <c r="I7" s="18"/>
    </row>
    <row r="8" spans="2:9" ht="51">
      <c r="B8" s="20" t="s">
        <v>208</v>
      </c>
      <c r="C8" s="21" t="s">
        <v>209</v>
      </c>
      <c r="D8" s="21" t="s">
        <v>247</v>
      </c>
    </row>
    <row r="9" spans="2:9" ht="12.75">
      <c r="B9" s="19" t="s">
        <v>211</v>
      </c>
      <c r="C9" s="21" t="s">
        <v>248</v>
      </c>
      <c r="D9"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4.xml><?xml version="1.0" encoding="utf-8"?>
<worksheet xmlns="http://schemas.openxmlformats.org/spreadsheetml/2006/main" xmlns:r="http://schemas.openxmlformats.org/officeDocument/2006/relationships">
  <dimension ref="A1:AMK9"/>
  <sheetViews>
    <sheetView workbookViewId="0">
      <selection activeCell="C9" activeCellId="1" sqref="O43:O45 C9"/>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249</v>
      </c>
      <c r="C1" s="3"/>
      <c r="D1" s="3"/>
      <c r="E1" s="3"/>
      <c r="F1" s="3"/>
      <c r="G1" s="3"/>
      <c r="H1" s="3"/>
      <c r="I1" s="3"/>
    </row>
    <row r="2" spans="2:9" ht="18">
      <c r="B2" s="2" t="s">
        <v>250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206</v>
      </c>
      <c r="D7" s="21" t="s">
        <v>207</v>
      </c>
      <c r="E7" s="18"/>
      <c r="F7" s="18"/>
      <c r="G7" s="18"/>
      <c r="H7" s="18"/>
      <c r="I7" s="18"/>
    </row>
    <row r="8" spans="2:9" ht="51">
      <c r="B8" s="20" t="s">
        <v>208</v>
      </c>
      <c r="C8" s="21" t="s">
        <v>209</v>
      </c>
      <c r="D8" s="21" t="s">
        <v>210</v>
      </c>
    </row>
    <row r="9" spans="2:9" ht="12.75">
      <c r="B9" s="19" t="s">
        <v>211</v>
      </c>
      <c r="C9" s="21" t="s">
        <v>248</v>
      </c>
      <c r="D9"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5.xml><?xml version="1.0" encoding="utf-8"?>
<worksheet xmlns="http://schemas.openxmlformats.org/spreadsheetml/2006/main" xmlns:r="http://schemas.openxmlformats.org/officeDocument/2006/relationships">
  <dimension ref="A1:AMK12"/>
  <sheetViews>
    <sheetView workbookViewId="0">
      <selection activeCell="D14" activeCellId="1" sqref="O43:O45 D14"/>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251</v>
      </c>
      <c r="C1" s="3"/>
      <c r="D1" s="3"/>
      <c r="E1" s="3"/>
      <c r="F1" s="3"/>
      <c r="G1" s="3"/>
      <c r="H1" s="3"/>
      <c r="I1" s="3"/>
    </row>
    <row r="2" spans="2:9" ht="18">
      <c r="B2" s="2" t="s">
        <v>252</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12.75">
      <c r="B7" s="20" t="s">
        <v>155</v>
      </c>
      <c r="C7" s="21" t="s">
        <v>253</v>
      </c>
      <c r="D7" s="21"/>
      <c r="E7" s="18"/>
      <c r="F7" s="18"/>
      <c r="G7" s="18"/>
      <c r="H7" s="18"/>
      <c r="I7" s="18"/>
    </row>
    <row r="8" spans="2:9" ht="63.75">
      <c r="B8" s="20" t="s">
        <v>208</v>
      </c>
      <c r="C8" s="21" t="s">
        <v>254</v>
      </c>
      <c r="D8" s="21" t="s">
        <v>255</v>
      </c>
    </row>
    <row r="9" spans="2:9" ht="12.75">
      <c r="B9" s="19" t="s">
        <v>211</v>
      </c>
      <c r="C9" s="21"/>
      <c r="D9" s="21"/>
    </row>
    <row r="10" spans="2:9" ht="12.75">
      <c r="B10" s="20" t="s">
        <v>214</v>
      </c>
      <c r="C10" s="21"/>
      <c r="D10" s="21"/>
      <c r="E10" s="18"/>
      <c r="F10" s="18"/>
      <c r="G10" s="18"/>
      <c r="H10" s="18"/>
      <c r="I10" s="18"/>
    </row>
    <row r="11" spans="2:9" ht="12.75">
      <c r="B11" s="20" t="s">
        <v>217</v>
      </c>
      <c r="C11" s="21"/>
      <c r="D11" s="21"/>
    </row>
    <row r="12" spans="2:9" ht="12.75">
      <c r="B12" s="19" t="s">
        <v>220</v>
      </c>
      <c r="C12" s="21"/>
      <c r="D12"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6.xml><?xml version="1.0" encoding="utf-8"?>
<worksheet xmlns="http://schemas.openxmlformats.org/spreadsheetml/2006/main" xmlns:r="http://schemas.openxmlformats.org/officeDocument/2006/relationships">
  <dimension ref="A1:AMK9"/>
  <sheetViews>
    <sheetView workbookViewId="0">
      <selection activeCell="B1" activeCellId="1" sqref="O43:O45 B1"/>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256</v>
      </c>
      <c r="C1" s="3"/>
      <c r="D1" s="3"/>
      <c r="E1" s="3"/>
      <c r="F1" s="3"/>
      <c r="G1" s="3"/>
      <c r="H1" s="3"/>
      <c r="I1" s="3"/>
    </row>
    <row r="2" spans="2:9" ht="18">
      <c r="B2" s="2" t="s">
        <v>257</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178.5">
      <c r="B7" s="20" t="s">
        <v>155</v>
      </c>
      <c r="C7" s="21" t="s">
        <v>258</v>
      </c>
      <c r="D7" s="21" t="s">
        <v>259</v>
      </c>
      <c r="E7" s="18"/>
      <c r="F7" s="18"/>
      <c r="G7" s="18"/>
      <c r="H7" s="18"/>
      <c r="I7" s="18"/>
    </row>
    <row r="8" spans="2:9" ht="51">
      <c r="B8" s="20" t="s">
        <v>208</v>
      </c>
      <c r="C8" s="21" t="s">
        <v>212</v>
      </c>
      <c r="D8" s="21" t="s">
        <v>234</v>
      </c>
    </row>
    <row r="9" spans="2:9" ht="76.5">
      <c r="B9" s="20" t="s">
        <v>211</v>
      </c>
      <c r="C9" s="21" t="s">
        <v>235</v>
      </c>
      <c r="D9" s="21" t="s">
        <v>236</v>
      </c>
      <c r="E9" s="18"/>
      <c r="F9" s="18"/>
      <c r="G9" s="18"/>
      <c r="H9" s="18"/>
      <c r="I9"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7.xml><?xml version="1.0" encoding="utf-8"?>
<worksheet xmlns="http://schemas.openxmlformats.org/spreadsheetml/2006/main" xmlns:r="http://schemas.openxmlformats.org/officeDocument/2006/relationships">
  <dimension ref="A1:AMK9"/>
  <sheetViews>
    <sheetView workbookViewId="0">
      <selection activeCell="B1" activeCellId="1" sqref="O43:O45 B1"/>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260</v>
      </c>
      <c r="C1" s="3"/>
      <c r="D1" s="3"/>
      <c r="E1" s="3"/>
      <c r="F1" s="3"/>
      <c r="G1" s="3"/>
      <c r="H1" s="3"/>
      <c r="I1" s="3"/>
    </row>
    <row r="2" spans="2:9" ht="18">
      <c r="B2" s="2" t="s">
        <v>261</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262</v>
      </c>
      <c r="D7" s="21" t="s">
        <v>263</v>
      </c>
      <c r="E7" s="18"/>
      <c r="F7" s="18"/>
      <c r="G7" s="18"/>
      <c r="H7" s="18"/>
      <c r="I7" s="18"/>
    </row>
    <row r="8" spans="2:9" ht="51">
      <c r="B8" s="20" t="s">
        <v>208</v>
      </c>
      <c r="C8" s="21" t="s">
        <v>212</v>
      </c>
      <c r="D8" s="21" t="s">
        <v>234</v>
      </c>
    </row>
    <row r="9" spans="2:9" ht="76.5">
      <c r="B9" s="20" t="s">
        <v>211</v>
      </c>
      <c r="C9" s="21" t="s">
        <v>235</v>
      </c>
      <c r="D9" s="21" t="s">
        <v>236</v>
      </c>
      <c r="E9" s="18"/>
      <c r="F9" s="18"/>
      <c r="G9" s="18"/>
      <c r="H9" s="18"/>
      <c r="I9"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8.xml><?xml version="1.0" encoding="utf-8"?>
<worksheet xmlns="http://schemas.openxmlformats.org/spreadsheetml/2006/main" xmlns:r="http://schemas.openxmlformats.org/officeDocument/2006/relationships">
  <dimension ref="A1:AMK9"/>
  <sheetViews>
    <sheetView workbookViewId="0">
      <selection activeCell="C14" activeCellId="1" sqref="O43:O45 C14"/>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264</v>
      </c>
      <c r="C1" s="3"/>
      <c r="D1" s="3"/>
      <c r="E1" s="3"/>
      <c r="F1" s="3"/>
      <c r="G1" s="3"/>
      <c r="H1" s="3"/>
      <c r="I1" s="3"/>
    </row>
    <row r="2" spans="2:9" ht="18">
      <c r="B2" s="2" t="s">
        <v>265</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266</v>
      </c>
      <c r="D7" s="21" t="s">
        <v>263</v>
      </c>
      <c r="E7" s="18"/>
      <c r="F7" s="18"/>
      <c r="G7" s="18"/>
      <c r="H7" s="18"/>
      <c r="I7" s="18"/>
    </row>
    <row r="8" spans="2:9" ht="51">
      <c r="B8" s="20" t="s">
        <v>208</v>
      </c>
      <c r="C8" s="21" t="s">
        <v>212</v>
      </c>
      <c r="D8" s="21" t="s">
        <v>234</v>
      </c>
    </row>
    <row r="9" spans="2:9" ht="76.5">
      <c r="B9" s="20" t="s">
        <v>211</v>
      </c>
      <c r="C9" s="21" t="s">
        <v>235</v>
      </c>
      <c r="D9" s="21" t="s">
        <v>236</v>
      </c>
      <c r="E9" s="18"/>
      <c r="F9" s="18"/>
      <c r="G9" s="18"/>
      <c r="H9" s="18"/>
      <c r="I9"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9.xml><?xml version="1.0" encoding="utf-8"?>
<worksheet xmlns="http://schemas.openxmlformats.org/spreadsheetml/2006/main" xmlns:r="http://schemas.openxmlformats.org/officeDocument/2006/relationships">
  <dimension ref="A1:AMK13"/>
  <sheetViews>
    <sheetView topLeftCell="A4" workbookViewId="0">
      <selection activeCell="C11" activeCellId="1" sqref="O43:O45 C11"/>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267</v>
      </c>
      <c r="C1" s="3"/>
      <c r="D1" s="3"/>
      <c r="E1" s="3"/>
      <c r="F1" s="3"/>
      <c r="G1" s="3"/>
      <c r="H1" s="3"/>
      <c r="I1" s="3"/>
    </row>
    <row r="2" spans="2:9" ht="18">
      <c r="B2" s="2" t="s">
        <v>268</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269</v>
      </c>
      <c r="D7" s="21" t="s">
        <v>207</v>
      </c>
      <c r="E7" s="18"/>
      <c r="F7" s="18"/>
      <c r="G7" s="18"/>
      <c r="H7" s="18"/>
      <c r="I7" s="18"/>
    </row>
    <row r="8" spans="2:9" ht="51">
      <c r="B8" s="20" t="s">
        <v>208</v>
      </c>
      <c r="C8" s="21" t="s">
        <v>209</v>
      </c>
      <c r="D8" s="21" t="s">
        <v>270</v>
      </c>
    </row>
    <row r="9" spans="2:9" ht="63.75">
      <c r="B9" s="19" t="s">
        <v>211</v>
      </c>
      <c r="C9" s="21" t="s">
        <v>271</v>
      </c>
      <c r="D9" s="21" t="s">
        <v>272</v>
      </c>
    </row>
    <row r="10" spans="2:9" ht="25.5">
      <c r="B10" s="19" t="s">
        <v>214</v>
      </c>
      <c r="C10" s="21" t="s">
        <v>212</v>
      </c>
      <c r="D10" s="21" t="s">
        <v>213</v>
      </c>
    </row>
    <row r="11" spans="2:9" ht="51">
      <c r="B11" s="20" t="s">
        <v>217</v>
      </c>
      <c r="C11" s="21" t="s">
        <v>215</v>
      </c>
      <c r="D11" s="21" t="s">
        <v>234</v>
      </c>
      <c r="E11" s="18"/>
      <c r="F11" s="18"/>
      <c r="G11" s="18"/>
      <c r="H11" s="18"/>
      <c r="I11" s="18"/>
    </row>
    <row r="12" spans="2:9" ht="25.5">
      <c r="B12" s="20" t="s">
        <v>220</v>
      </c>
      <c r="C12" s="21" t="s">
        <v>218</v>
      </c>
      <c r="D12" s="21" t="s">
        <v>219</v>
      </c>
    </row>
    <row r="13" spans="2:9" ht="63.75">
      <c r="B13" s="19" t="s">
        <v>273</v>
      </c>
      <c r="C13" s="21" t="s">
        <v>221</v>
      </c>
      <c r="D13" s="21" t="s">
        <v>274</v>
      </c>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0.xml><?xml version="1.0" encoding="utf-8"?>
<worksheet xmlns="http://schemas.openxmlformats.org/spreadsheetml/2006/main" xmlns:r="http://schemas.openxmlformats.org/officeDocument/2006/relationships">
  <dimension ref="A1:AMK10"/>
  <sheetViews>
    <sheetView workbookViewId="0">
      <selection activeCell="D10" activeCellId="1" sqref="O43:O45 D10"/>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275</v>
      </c>
      <c r="C1" s="3"/>
      <c r="D1" s="3"/>
      <c r="E1" s="3"/>
      <c r="F1" s="3"/>
      <c r="G1" s="3"/>
      <c r="H1" s="3"/>
      <c r="I1" s="3"/>
    </row>
    <row r="2" spans="2:9" ht="18">
      <c r="B2" s="2" t="s">
        <v>276</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89.25">
      <c r="B7" s="20" t="s">
        <v>155</v>
      </c>
      <c r="C7" s="21" t="s">
        <v>277</v>
      </c>
      <c r="D7" s="21" t="s">
        <v>278</v>
      </c>
      <c r="E7" s="18"/>
      <c r="F7" s="18"/>
      <c r="G7" s="18"/>
      <c r="H7" s="18"/>
      <c r="I7" s="18"/>
    </row>
    <row r="8" spans="2:9" ht="51">
      <c r="B8" s="19" t="s">
        <v>208</v>
      </c>
      <c r="C8" s="21" t="s">
        <v>227</v>
      </c>
      <c r="D8" s="21" t="s">
        <v>216</v>
      </c>
    </row>
    <row r="9" spans="2:9" ht="102">
      <c r="B9" s="20" t="s">
        <v>211</v>
      </c>
      <c r="C9" s="21" t="s">
        <v>279</v>
      </c>
      <c r="D9" s="21" t="s">
        <v>280</v>
      </c>
      <c r="E9" s="18"/>
      <c r="F9" s="18"/>
      <c r="G9" s="18"/>
      <c r="H9" s="18"/>
      <c r="I9" s="18"/>
    </row>
    <row r="10" spans="2:9" ht="89.25">
      <c r="B10" s="20" t="s">
        <v>214</v>
      </c>
      <c r="C10" s="21" t="s">
        <v>281</v>
      </c>
      <c r="D10" s="21" t="s">
        <v>282</v>
      </c>
      <c r="E10" s="18"/>
      <c r="F10" s="18"/>
      <c r="G10" s="18"/>
      <c r="H10" s="18"/>
      <c r="I10" s="18"/>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1.xml><?xml version="1.0" encoding="utf-8"?>
<worksheet xmlns="http://schemas.openxmlformats.org/spreadsheetml/2006/main" xmlns:r="http://schemas.openxmlformats.org/officeDocument/2006/relationships">
  <dimension ref="A1:AMK13"/>
  <sheetViews>
    <sheetView workbookViewId="0">
      <selection activeCell="D13" activeCellId="1" sqref="O43:O45 D13"/>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283</v>
      </c>
      <c r="C1" s="3"/>
      <c r="D1" s="3"/>
      <c r="E1" s="3"/>
      <c r="F1" s="3"/>
      <c r="G1" s="3"/>
      <c r="H1" s="3"/>
      <c r="I1" s="3"/>
    </row>
    <row r="2" spans="2:9" ht="18">
      <c r="B2" s="2" t="s">
        <v>284</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285</v>
      </c>
      <c r="D7" s="21" t="s">
        <v>286</v>
      </c>
      <c r="E7" s="18"/>
      <c r="F7" s="18"/>
      <c r="G7" s="18"/>
      <c r="H7" s="18"/>
      <c r="I7" s="18"/>
    </row>
    <row r="8" spans="2:9" ht="25.5">
      <c r="B8" s="20" t="s">
        <v>208</v>
      </c>
      <c r="C8" s="21" t="s">
        <v>287</v>
      </c>
      <c r="D8" s="21" t="s">
        <v>288</v>
      </c>
    </row>
    <row r="9" spans="2:9" ht="51">
      <c r="B9" s="20" t="s">
        <v>211</v>
      </c>
      <c r="C9" s="21" t="s">
        <v>209</v>
      </c>
      <c r="D9" s="21" t="s">
        <v>289</v>
      </c>
    </row>
    <row r="10" spans="2:9" ht="25.5">
      <c r="B10" s="19" t="s">
        <v>214</v>
      </c>
      <c r="C10" s="21" t="s">
        <v>212</v>
      </c>
      <c r="D10" s="21" t="s">
        <v>213</v>
      </c>
    </row>
    <row r="11" spans="2:9" ht="51">
      <c r="B11" s="20" t="s">
        <v>217</v>
      </c>
      <c r="C11" s="21" t="s">
        <v>215</v>
      </c>
      <c r="D11" s="21" t="s">
        <v>234</v>
      </c>
      <c r="E11" s="18"/>
      <c r="F11" s="18"/>
      <c r="G11" s="18"/>
      <c r="H11" s="18"/>
      <c r="I11" s="18"/>
    </row>
    <row r="12" spans="2:9" ht="25.5">
      <c r="B12" s="20" t="s">
        <v>220</v>
      </c>
      <c r="C12" s="21" t="s">
        <v>218</v>
      </c>
      <c r="D12" s="21" t="s">
        <v>219</v>
      </c>
    </row>
    <row r="13" spans="2:9" ht="76.5">
      <c r="B13" s="19" t="s">
        <v>273</v>
      </c>
      <c r="C13" s="21" t="s">
        <v>221</v>
      </c>
      <c r="D13" s="21" t="s">
        <v>290</v>
      </c>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2.xml><?xml version="1.0" encoding="utf-8"?>
<worksheet xmlns="http://schemas.openxmlformats.org/spreadsheetml/2006/main" xmlns:r="http://schemas.openxmlformats.org/officeDocument/2006/relationships">
  <dimension ref="A1:AMK10"/>
  <sheetViews>
    <sheetView topLeftCell="A10" workbookViewId="0">
      <selection activeCell="B2" activeCellId="1" sqref="O43:O45 B2"/>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291</v>
      </c>
      <c r="C1" s="3"/>
      <c r="D1" s="3"/>
      <c r="E1" s="3"/>
      <c r="F1" s="3"/>
      <c r="G1" s="3"/>
      <c r="H1" s="3"/>
      <c r="I1" s="3"/>
    </row>
    <row r="2" spans="2:9" ht="18">
      <c r="B2" s="2" t="s">
        <v>292</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89.25">
      <c r="B7" s="20" t="s">
        <v>155</v>
      </c>
      <c r="C7" s="21" t="s">
        <v>293</v>
      </c>
      <c r="D7" s="21" t="s">
        <v>294</v>
      </c>
      <c r="E7" s="18"/>
      <c r="F7" s="18"/>
      <c r="G7" s="18"/>
      <c r="H7" s="18"/>
      <c r="I7" s="18"/>
    </row>
    <row r="8" spans="2:9" ht="51">
      <c r="B8" s="19" t="s">
        <v>208</v>
      </c>
      <c r="C8" s="21" t="s">
        <v>227</v>
      </c>
      <c r="D8" s="21" t="s">
        <v>216</v>
      </c>
    </row>
    <row r="9" spans="2:9" ht="102">
      <c r="B9" s="20" t="s">
        <v>211</v>
      </c>
      <c r="C9" s="21" t="s">
        <v>279</v>
      </c>
      <c r="D9" s="21" t="s">
        <v>280</v>
      </c>
      <c r="E9" s="18"/>
      <c r="F9" s="18"/>
      <c r="G9" s="18"/>
      <c r="H9" s="18"/>
      <c r="I9" s="18"/>
    </row>
    <row r="10" spans="2:9" ht="89.25">
      <c r="B10" s="20" t="s">
        <v>214</v>
      </c>
      <c r="C10" s="21" t="s">
        <v>281</v>
      </c>
      <c r="D10" s="21" t="s">
        <v>282</v>
      </c>
      <c r="E10" s="18"/>
      <c r="F10" s="18"/>
      <c r="G10" s="18"/>
      <c r="H10" s="18"/>
      <c r="I10" s="18"/>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3.xml><?xml version="1.0" encoding="utf-8"?>
<worksheet xmlns="http://schemas.openxmlformats.org/spreadsheetml/2006/main" xmlns:r="http://schemas.openxmlformats.org/officeDocument/2006/relationships">
  <dimension ref="A1:AMK8"/>
  <sheetViews>
    <sheetView workbookViewId="0">
      <selection activeCell="D7" activeCellId="1" sqref="O43:O45 D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249</v>
      </c>
      <c r="C1" s="3"/>
      <c r="D1" s="3"/>
      <c r="E1" s="3"/>
      <c r="F1" s="3"/>
      <c r="G1" s="3"/>
      <c r="H1" s="3"/>
      <c r="I1" s="3"/>
    </row>
    <row r="2" spans="2:9" ht="18">
      <c r="B2" s="2" t="s">
        <v>250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51">
      <c r="B7" s="20" t="s">
        <v>155</v>
      </c>
      <c r="C7" s="21" t="s">
        <v>295</v>
      </c>
      <c r="D7" s="21" t="s">
        <v>296</v>
      </c>
      <c r="E7" s="18"/>
      <c r="F7" s="18"/>
      <c r="G7" s="18"/>
      <c r="H7" s="18"/>
      <c r="I7" s="18"/>
    </row>
    <row r="8" spans="2:9" ht="25.5">
      <c r="B8" s="20" t="s">
        <v>208</v>
      </c>
      <c r="C8" s="21" t="s">
        <v>297</v>
      </c>
      <c r="D8" s="21" t="s">
        <v>298</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4.xml><?xml version="1.0" encoding="utf-8"?>
<worksheet xmlns="http://schemas.openxmlformats.org/spreadsheetml/2006/main" xmlns:r="http://schemas.openxmlformats.org/officeDocument/2006/relationships">
  <dimension ref="A1:AMK8"/>
  <sheetViews>
    <sheetView workbookViewId="0">
      <selection activeCell="D8" activeCellId="1" sqref="O43:O45 D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251</v>
      </c>
      <c r="C1" s="3"/>
      <c r="D1" s="3"/>
      <c r="E1" s="3"/>
      <c r="F1" s="3"/>
      <c r="G1" s="3"/>
      <c r="H1" s="3"/>
      <c r="I1" s="3"/>
    </row>
    <row r="2" spans="2:9" ht="18">
      <c r="B2" s="2" t="s">
        <v>252</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299</v>
      </c>
      <c r="D7" s="21" t="s">
        <v>300</v>
      </c>
      <c r="E7" s="18"/>
      <c r="F7" s="18"/>
      <c r="G7" s="18"/>
      <c r="H7" s="18"/>
      <c r="I7" s="18"/>
    </row>
    <row r="8" spans="2:9" ht="63.75">
      <c r="B8" s="20" t="s">
        <v>208</v>
      </c>
      <c r="C8" s="21" t="s">
        <v>254</v>
      </c>
      <c r="D8" s="21" t="s">
        <v>301</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5.xml><?xml version="1.0" encoding="utf-8"?>
<worksheet xmlns="http://schemas.openxmlformats.org/spreadsheetml/2006/main" xmlns:r="http://schemas.openxmlformats.org/officeDocument/2006/relationships">
  <dimension ref="A1:AMK9"/>
  <sheetViews>
    <sheetView topLeftCell="A7" workbookViewId="0">
      <selection activeCell="D8" activeCellId="1" sqref="O43:O45 D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302</v>
      </c>
      <c r="C1" s="3"/>
      <c r="D1" s="3"/>
      <c r="E1" s="3"/>
      <c r="F1" s="3"/>
      <c r="G1" s="3"/>
      <c r="H1" s="3"/>
      <c r="I1" s="3"/>
    </row>
    <row r="2" spans="2:9" ht="18">
      <c r="B2" s="2" t="s">
        <v>303</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176.85" customHeight="1">
      <c r="B7" s="20" t="s">
        <v>155</v>
      </c>
      <c r="C7" s="21" t="s">
        <v>304</v>
      </c>
      <c r="D7" s="21" t="s">
        <v>305</v>
      </c>
      <c r="E7" s="18"/>
      <c r="F7" s="18"/>
      <c r="G7" s="18"/>
      <c r="H7" s="18"/>
      <c r="I7" s="18"/>
    </row>
    <row r="8" spans="2:9" ht="51">
      <c r="B8" s="20" t="s">
        <v>208</v>
      </c>
      <c r="C8" s="21" t="s">
        <v>212</v>
      </c>
      <c r="D8" s="21" t="s">
        <v>234</v>
      </c>
    </row>
    <row r="9" spans="2:9" ht="76.5">
      <c r="B9" s="19" t="s">
        <v>211</v>
      </c>
      <c r="C9" s="21" t="s">
        <v>235</v>
      </c>
      <c r="D9" s="21" t="s">
        <v>236</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6.xml><?xml version="1.0" encoding="utf-8"?>
<worksheet xmlns="http://schemas.openxmlformats.org/spreadsheetml/2006/main" xmlns:r="http://schemas.openxmlformats.org/officeDocument/2006/relationships">
  <dimension ref="A1:AMK17"/>
  <sheetViews>
    <sheetView workbookViewId="0">
      <selection activeCell="D7" activeCellId="1" sqref="O43:O45 D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306</v>
      </c>
      <c r="C1" s="3"/>
      <c r="D1" s="3"/>
      <c r="E1" s="3"/>
      <c r="F1" s="3"/>
      <c r="G1" s="3"/>
      <c r="H1" s="3"/>
      <c r="I1" s="3"/>
    </row>
    <row r="2" spans="2:9" ht="18">
      <c r="B2" s="2" t="s">
        <v>307</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102">
      <c r="B7" s="20" t="s">
        <v>155</v>
      </c>
      <c r="C7" s="21" t="s">
        <v>308</v>
      </c>
      <c r="D7" s="21" t="s">
        <v>309</v>
      </c>
      <c r="E7" s="18"/>
      <c r="F7" s="18"/>
      <c r="G7" s="18"/>
      <c r="H7" s="18"/>
      <c r="I7" s="18"/>
    </row>
    <row r="8" spans="2:9" ht="51">
      <c r="B8" s="20" t="s">
        <v>208</v>
      </c>
      <c r="C8" s="21" t="s">
        <v>212</v>
      </c>
      <c r="D8" s="21" t="s">
        <v>234</v>
      </c>
    </row>
    <row r="9" spans="2:9" ht="76.5">
      <c r="B9" s="20" t="s">
        <v>211</v>
      </c>
      <c r="C9" s="21" t="s">
        <v>235</v>
      </c>
      <c r="D9" s="21" t="s">
        <v>236</v>
      </c>
      <c r="E9" s="18"/>
      <c r="F9" s="18"/>
      <c r="G9" s="18"/>
      <c r="H9" s="18"/>
      <c r="I9" s="18"/>
    </row>
    <row r="11" spans="2:9" ht="12.75">
      <c r="C11" s="16" t="s">
        <v>310</v>
      </c>
    </row>
    <row r="13" spans="2:9" ht="12.75">
      <c r="C13" s="16" t="s">
        <v>311</v>
      </c>
    </row>
    <row r="15" spans="2:9" ht="12.75">
      <c r="C15" s="16" t="s">
        <v>312</v>
      </c>
    </row>
    <row r="17" spans="3:3" ht="12.75">
      <c r="C17" s="16" t="s">
        <v>313</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7.xml><?xml version="1.0" encoding="utf-8"?>
<worksheet xmlns="http://schemas.openxmlformats.org/spreadsheetml/2006/main" xmlns:r="http://schemas.openxmlformats.org/officeDocument/2006/relationships">
  <dimension ref="A1:AMK17"/>
  <sheetViews>
    <sheetView topLeftCell="B1" workbookViewId="0">
      <selection activeCell="C10" activeCellId="1" sqref="O43:O45 C10"/>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314</v>
      </c>
      <c r="C1" s="3"/>
      <c r="D1" s="3"/>
      <c r="E1" s="3"/>
      <c r="F1" s="3"/>
      <c r="G1" s="3"/>
      <c r="H1" s="3"/>
      <c r="I1" s="3"/>
    </row>
    <row r="2" spans="2:9" ht="18">
      <c r="B2" s="2" t="s">
        <v>315</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76.5">
      <c r="B7" s="20" t="s">
        <v>155</v>
      </c>
      <c r="C7" s="25" t="s">
        <v>316</v>
      </c>
      <c r="D7" s="21" t="s">
        <v>317</v>
      </c>
      <c r="E7" s="18"/>
      <c r="F7" s="18"/>
      <c r="G7" s="18"/>
      <c r="H7" s="18"/>
      <c r="I7" s="18"/>
    </row>
    <row r="8" spans="2:9" ht="38.25">
      <c r="B8" s="20" t="s">
        <v>208</v>
      </c>
      <c r="C8" s="25" t="s">
        <v>318</v>
      </c>
      <c r="D8" s="21" t="s">
        <v>319</v>
      </c>
      <c r="E8" s="18"/>
      <c r="F8" s="18"/>
      <c r="G8" s="18"/>
      <c r="H8" s="18"/>
      <c r="I8" s="18"/>
    </row>
    <row r="9" spans="2:9" ht="38.25">
      <c r="B9" s="20" t="s">
        <v>211</v>
      </c>
      <c r="C9" s="21" t="s">
        <v>320</v>
      </c>
      <c r="D9" s="21" t="s">
        <v>321</v>
      </c>
    </row>
    <row r="10" spans="2:9" ht="38.25">
      <c r="B10" s="19" t="s">
        <v>214</v>
      </c>
      <c r="C10" s="21" t="s">
        <v>322</v>
      </c>
      <c r="D10" s="21" t="s">
        <v>323</v>
      </c>
    </row>
    <row r="11" spans="2:9" ht="38.25">
      <c r="B11" s="20" t="s">
        <v>217</v>
      </c>
      <c r="C11" s="21" t="s">
        <v>324</v>
      </c>
      <c r="D11" s="21" t="s">
        <v>319</v>
      </c>
      <c r="E11" s="18"/>
      <c r="F11" s="18"/>
      <c r="G11" s="18"/>
      <c r="H11" s="18"/>
      <c r="I11" s="18"/>
    </row>
    <row r="12" spans="2:9" ht="38.25">
      <c r="B12" s="20" t="s">
        <v>220</v>
      </c>
      <c r="C12" s="21" t="s">
        <v>325</v>
      </c>
      <c r="D12" s="21" t="s">
        <v>321</v>
      </c>
    </row>
    <row r="15" spans="2:9" ht="12.75">
      <c r="C15" s="16" t="s">
        <v>326</v>
      </c>
    </row>
    <row r="16" spans="2:9" ht="12.75">
      <c r="C16" s="16" t="s">
        <v>327</v>
      </c>
    </row>
    <row r="17" spans="3:3" ht="12.75">
      <c r="C17" s="16" t="s">
        <v>328</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8.xml><?xml version="1.0" encoding="utf-8"?>
<worksheet xmlns="http://schemas.openxmlformats.org/spreadsheetml/2006/main" xmlns:r="http://schemas.openxmlformats.org/officeDocument/2006/relationships">
  <dimension ref="A1:AMK17"/>
  <sheetViews>
    <sheetView workbookViewId="0">
      <selection activeCell="D7" activeCellId="1" sqref="O43:O45 D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329</v>
      </c>
      <c r="C1" s="3"/>
      <c r="D1" s="3"/>
      <c r="E1" s="3"/>
      <c r="F1" s="3"/>
      <c r="G1" s="3"/>
      <c r="H1" s="3"/>
      <c r="I1" s="3"/>
    </row>
    <row r="2" spans="2:9" ht="18">
      <c r="B2" s="2" t="s">
        <v>330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331</v>
      </c>
      <c r="D7" s="26" t="s">
        <v>332</v>
      </c>
      <c r="E7" s="18"/>
      <c r="F7" s="18"/>
      <c r="G7" s="18"/>
      <c r="H7" s="18"/>
      <c r="I7" s="18"/>
    </row>
    <row r="8" spans="2:9" ht="38.25">
      <c r="B8" s="20" t="s">
        <v>208</v>
      </c>
      <c r="C8" s="25" t="s">
        <v>333</v>
      </c>
      <c r="D8" s="21" t="s">
        <v>319</v>
      </c>
      <c r="E8" s="18"/>
      <c r="F8" s="18"/>
      <c r="G8" s="18"/>
      <c r="H8" s="18"/>
      <c r="I8" s="18"/>
    </row>
    <row r="9" spans="2:9" ht="38.25">
      <c r="B9" s="20" t="s">
        <v>211</v>
      </c>
      <c r="C9" s="21" t="s">
        <v>325</v>
      </c>
      <c r="D9" s="21" t="s">
        <v>321</v>
      </c>
      <c r="E9" s="18"/>
      <c r="F9" s="18"/>
      <c r="G9" s="18"/>
      <c r="H9" s="18"/>
      <c r="I9" s="18"/>
    </row>
    <row r="10" spans="2:9" ht="76.5">
      <c r="B10" s="20" t="s">
        <v>214</v>
      </c>
      <c r="C10" s="21" t="s">
        <v>334</v>
      </c>
      <c r="D10" s="26" t="s">
        <v>335</v>
      </c>
    </row>
    <row r="11" spans="2:9" ht="38.25">
      <c r="B11" s="20" t="s">
        <v>217</v>
      </c>
      <c r="C11" s="21" t="s">
        <v>336</v>
      </c>
      <c r="D11" s="21" t="s">
        <v>319</v>
      </c>
      <c r="E11" s="18"/>
      <c r="F11" s="18"/>
      <c r="G11" s="18"/>
      <c r="H11" s="18"/>
      <c r="I11" s="18"/>
    </row>
    <row r="12" spans="2:9" ht="38.25">
      <c r="B12" s="20" t="s">
        <v>220</v>
      </c>
      <c r="C12" s="21" t="s">
        <v>320</v>
      </c>
      <c r="D12" s="21" t="s">
        <v>321</v>
      </c>
    </row>
    <row r="13" spans="2:9" ht="12.75">
      <c r="B13" s="19" t="s">
        <v>273</v>
      </c>
      <c r="C13" s="21" t="s">
        <v>337</v>
      </c>
      <c r="D13" s="21" t="s">
        <v>338</v>
      </c>
    </row>
    <row r="15" spans="2:9" ht="12.75">
      <c r="C15" s="16" t="s">
        <v>326</v>
      </c>
    </row>
    <row r="16" spans="2:9" ht="12.75">
      <c r="C16" s="16" t="s">
        <v>327</v>
      </c>
    </row>
    <row r="17" spans="3:3" ht="12.75">
      <c r="C17" s="16" t="s">
        <v>328</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9.xml><?xml version="1.0" encoding="utf-8"?>
<worksheet xmlns="http://schemas.openxmlformats.org/spreadsheetml/2006/main" xmlns:r="http://schemas.openxmlformats.org/officeDocument/2006/relationships">
  <dimension ref="A1:AMK18"/>
  <sheetViews>
    <sheetView topLeftCell="A7" workbookViewId="0">
      <selection activeCell="D11" activeCellId="1" sqref="O43:O45 D11"/>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339</v>
      </c>
      <c r="C1" s="3"/>
      <c r="D1" s="3"/>
      <c r="E1" s="3"/>
      <c r="F1" s="3"/>
      <c r="G1" s="3"/>
      <c r="H1" s="3"/>
      <c r="I1" s="3"/>
    </row>
    <row r="2" spans="2:9" ht="18">
      <c r="B2" s="2" t="s">
        <v>340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341</v>
      </c>
      <c r="D7" s="26" t="s">
        <v>332</v>
      </c>
      <c r="E7" s="18"/>
      <c r="F7" s="18"/>
      <c r="G7" s="18"/>
      <c r="H7" s="18"/>
      <c r="I7" s="18"/>
    </row>
    <row r="8" spans="2:9" ht="38.25">
      <c r="B8" s="20" t="s">
        <v>208</v>
      </c>
      <c r="C8" s="25" t="s">
        <v>333</v>
      </c>
      <c r="D8" s="21" t="s">
        <v>319</v>
      </c>
      <c r="E8" s="18"/>
      <c r="F8" s="18"/>
      <c r="G8" s="18"/>
      <c r="H8" s="18"/>
      <c r="I8" s="18"/>
    </row>
    <row r="9" spans="2:9" ht="38.25">
      <c r="B9" s="20"/>
      <c r="C9" s="21" t="s">
        <v>325</v>
      </c>
      <c r="D9" s="21" t="s">
        <v>321</v>
      </c>
      <c r="E9" s="18"/>
      <c r="F9" s="18"/>
      <c r="G9" s="18"/>
      <c r="H9" s="18"/>
      <c r="I9" s="18"/>
    </row>
    <row r="10" spans="2:9" ht="76.5">
      <c r="B10" s="20" t="s">
        <v>211</v>
      </c>
      <c r="C10" s="21" t="s">
        <v>342</v>
      </c>
      <c r="D10" s="21" t="s">
        <v>343</v>
      </c>
    </row>
    <row r="11" spans="2:9" ht="38.25">
      <c r="B11" s="20"/>
      <c r="C11" s="21" t="s">
        <v>336</v>
      </c>
      <c r="D11" s="21" t="s">
        <v>319</v>
      </c>
    </row>
    <row r="12" spans="2:9" ht="25.5">
      <c r="B12" s="19" t="s">
        <v>214</v>
      </c>
      <c r="C12" s="21" t="s">
        <v>344</v>
      </c>
      <c r="D12" s="21" t="s">
        <v>345</v>
      </c>
    </row>
    <row r="13" spans="2:9" ht="25.5">
      <c r="B13" s="20" t="s">
        <v>217</v>
      </c>
      <c r="C13" s="27" t="s">
        <v>346</v>
      </c>
      <c r="D13" s="28" t="s">
        <v>347</v>
      </c>
      <c r="E13" s="18"/>
      <c r="F13" s="18"/>
      <c r="G13" s="18"/>
      <c r="H13" s="18"/>
      <c r="I13" s="18"/>
    </row>
    <row r="14" spans="2:9" ht="38.25">
      <c r="B14" s="19" t="s">
        <v>273</v>
      </c>
      <c r="C14" s="21" t="s">
        <v>348</v>
      </c>
      <c r="D14" s="21" t="s">
        <v>321</v>
      </c>
    </row>
    <row r="16" spans="2:9" ht="12.75">
      <c r="C16" s="16" t="s">
        <v>326</v>
      </c>
    </row>
    <row r="17" spans="3:3" ht="12.75">
      <c r="C17" s="16" t="s">
        <v>327</v>
      </c>
    </row>
    <row r="18" spans="3:3" ht="12.75">
      <c r="C18" s="16" t="s">
        <v>328</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0.xml><?xml version="1.0" encoding="utf-8"?>
<worksheet xmlns="http://schemas.openxmlformats.org/spreadsheetml/2006/main" xmlns:r="http://schemas.openxmlformats.org/officeDocument/2006/relationships">
  <dimension ref="A1:AMK19"/>
  <sheetViews>
    <sheetView topLeftCell="A7" workbookViewId="0">
      <selection activeCell="C13" activeCellId="1" sqref="O43:O45 C13"/>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349</v>
      </c>
      <c r="C1" s="3"/>
      <c r="D1" s="3"/>
      <c r="E1" s="3"/>
      <c r="F1" s="3"/>
      <c r="G1" s="3"/>
      <c r="H1" s="3"/>
      <c r="I1" s="3"/>
    </row>
    <row r="2" spans="2:9" ht="18">
      <c r="B2" s="2" t="s">
        <v>350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63.75">
      <c r="B7" s="20" t="s">
        <v>155</v>
      </c>
      <c r="C7" s="21" t="s">
        <v>341</v>
      </c>
      <c r="D7" s="26" t="s">
        <v>332</v>
      </c>
      <c r="E7" s="18"/>
      <c r="F7" s="18"/>
      <c r="G7" s="18"/>
      <c r="H7" s="18"/>
      <c r="I7" s="18"/>
    </row>
    <row r="8" spans="2:9" ht="38.25">
      <c r="B8" s="20" t="s">
        <v>208</v>
      </c>
      <c r="C8" s="25" t="s">
        <v>333</v>
      </c>
      <c r="D8" s="21" t="s">
        <v>319</v>
      </c>
    </row>
    <row r="9" spans="2:9" ht="38.25">
      <c r="B9" s="19" t="s">
        <v>211</v>
      </c>
      <c r="C9" s="21" t="s">
        <v>325</v>
      </c>
      <c r="D9" s="21" t="s">
        <v>321</v>
      </c>
    </row>
    <row r="10" spans="2:9" ht="76.5">
      <c r="B10" s="20" t="s">
        <v>214</v>
      </c>
      <c r="C10" s="21" t="s">
        <v>342</v>
      </c>
      <c r="D10" s="21" t="s">
        <v>351</v>
      </c>
      <c r="E10" s="18"/>
      <c r="F10" s="18"/>
      <c r="G10" s="18"/>
      <c r="H10" s="18"/>
      <c r="I10" s="18"/>
    </row>
    <row r="11" spans="2:9" ht="38.25">
      <c r="B11" s="20" t="s">
        <v>217</v>
      </c>
      <c r="C11" s="21" t="s">
        <v>336</v>
      </c>
      <c r="D11" s="21" t="s">
        <v>319</v>
      </c>
    </row>
    <row r="12" spans="2:9" ht="42.75">
      <c r="B12" s="19" t="s">
        <v>220</v>
      </c>
      <c r="C12" s="28" t="s">
        <v>352</v>
      </c>
      <c r="D12" s="29" t="s">
        <v>353</v>
      </c>
    </row>
    <row r="13" spans="2:9" ht="71.25">
      <c r="B13" s="19" t="s">
        <v>273</v>
      </c>
      <c r="C13" s="29" t="s">
        <v>354</v>
      </c>
      <c r="D13" s="21" t="s">
        <v>321</v>
      </c>
    </row>
    <row r="17" spans="3:3" ht="12.75">
      <c r="C17" s="16" t="s">
        <v>326</v>
      </c>
    </row>
    <row r="18" spans="3:3" ht="12.75">
      <c r="C18" s="16" t="s">
        <v>327</v>
      </c>
    </row>
    <row r="19" spans="3:3" ht="12.75">
      <c r="C19" s="16" t="s">
        <v>328</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1.xml><?xml version="1.0" encoding="utf-8"?>
<worksheet xmlns="http://schemas.openxmlformats.org/spreadsheetml/2006/main" xmlns:r="http://schemas.openxmlformats.org/officeDocument/2006/relationships">
  <dimension ref="A1:AMK7"/>
  <sheetViews>
    <sheetView workbookViewId="0">
      <selection activeCell="D18" activeCellId="1" sqref="O43:O45 D1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355</v>
      </c>
      <c r="C1" s="3"/>
      <c r="D1" s="3"/>
      <c r="E1" s="3"/>
      <c r="F1" s="3"/>
      <c r="G1" s="3"/>
      <c r="H1" s="3"/>
      <c r="I1" s="3"/>
    </row>
    <row r="2" spans="2:9" ht="18">
      <c r="B2" s="2" t="s">
        <v>356</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357</v>
      </c>
      <c r="D7" s="21" t="s">
        <v>358</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2.xml><?xml version="1.0" encoding="utf-8"?>
<worksheet xmlns="http://schemas.openxmlformats.org/spreadsheetml/2006/main" xmlns:r="http://schemas.openxmlformats.org/officeDocument/2006/relationships">
  <dimension ref="A1:AMK7"/>
  <sheetViews>
    <sheetView workbookViewId="0">
      <selection activeCell="A8" activeCellId="1" sqref="O43:O45 A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359</v>
      </c>
      <c r="C1" s="3"/>
      <c r="D1" s="3"/>
      <c r="E1" s="3"/>
      <c r="F1" s="3"/>
      <c r="G1" s="3"/>
      <c r="H1" s="3"/>
      <c r="I1" s="3"/>
    </row>
    <row r="2" spans="2:9" ht="18">
      <c r="B2" s="2" t="s">
        <v>360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361</v>
      </c>
      <c r="D7" s="21" t="s">
        <v>358</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3.xml><?xml version="1.0" encoding="utf-8"?>
<worksheet xmlns="http://schemas.openxmlformats.org/spreadsheetml/2006/main" xmlns:r="http://schemas.openxmlformats.org/officeDocument/2006/relationships">
  <dimension ref="A1:AMK7"/>
  <sheetViews>
    <sheetView workbookViewId="0">
      <selection activeCell="A8" activeCellId="1" sqref="O43:O45 A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362</v>
      </c>
      <c r="C1" s="3"/>
      <c r="D1" s="3"/>
      <c r="E1" s="3"/>
      <c r="F1" s="3"/>
      <c r="G1" s="3"/>
      <c r="H1" s="3"/>
      <c r="I1" s="3"/>
    </row>
    <row r="2" spans="2:9" ht="18">
      <c r="B2" s="2" t="s">
        <v>363</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364</v>
      </c>
      <c r="D7" s="21" t="s">
        <v>358</v>
      </c>
      <c r="E7" s="18"/>
      <c r="F7" s="18"/>
      <c r="G7" s="18"/>
      <c r="H7" s="18"/>
      <c r="I7" s="18"/>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4.xml><?xml version="1.0" encoding="utf-8"?>
<worksheet xmlns="http://schemas.openxmlformats.org/spreadsheetml/2006/main" xmlns:r="http://schemas.openxmlformats.org/officeDocument/2006/relationships">
  <dimension ref="A1:AMK12"/>
  <sheetViews>
    <sheetView workbookViewId="0">
      <selection activeCell="C8" activeCellId="1" sqref="O43:O45 C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365</v>
      </c>
      <c r="C1" s="3"/>
      <c r="D1" s="3"/>
      <c r="E1" s="3"/>
      <c r="F1" s="3"/>
      <c r="G1" s="3"/>
      <c r="H1" s="3"/>
      <c r="I1" s="3"/>
    </row>
    <row r="2" spans="2:9" ht="18">
      <c r="B2" s="2" t="s">
        <v>366</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51">
      <c r="B7" s="20" t="s">
        <v>155</v>
      </c>
      <c r="C7" s="21" t="s">
        <v>367</v>
      </c>
      <c r="D7" s="21" t="s">
        <v>368</v>
      </c>
      <c r="E7" s="18"/>
      <c r="F7" s="18"/>
      <c r="G7" s="18"/>
      <c r="H7" s="18"/>
      <c r="I7" s="18"/>
    </row>
    <row r="8" spans="2:9" ht="25.5">
      <c r="B8" s="20" t="s">
        <v>208</v>
      </c>
      <c r="C8" s="21" t="s">
        <v>369</v>
      </c>
      <c r="D8" s="27" t="s">
        <v>370</v>
      </c>
    </row>
    <row r="9" spans="2:9" ht="51">
      <c r="B9" s="19" t="s">
        <v>211</v>
      </c>
      <c r="C9" s="21" t="s">
        <v>371</v>
      </c>
      <c r="D9" s="21" t="s">
        <v>372</v>
      </c>
    </row>
    <row r="10" spans="2:9" ht="38.25">
      <c r="B10" s="20" t="s">
        <v>214</v>
      </c>
      <c r="C10" s="21" t="s">
        <v>373</v>
      </c>
      <c r="D10" s="21" t="s">
        <v>374</v>
      </c>
      <c r="E10" s="18"/>
      <c r="F10" s="18"/>
      <c r="G10" s="18"/>
      <c r="H10" s="18"/>
      <c r="I10" s="18"/>
    </row>
    <row r="11" spans="2:9" ht="12.75">
      <c r="B11" s="20" t="s">
        <v>217</v>
      </c>
      <c r="C11" s="21"/>
      <c r="D11" s="21"/>
    </row>
    <row r="12" spans="2:9" ht="12.75">
      <c r="B12" s="19" t="s">
        <v>220</v>
      </c>
      <c r="C12" s="21"/>
      <c r="D12"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5.xml><?xml version="1.0" encoding="utf-8"?>
<worksheet xmlns="http://schemas.openxmlformats.org/spreadsheetml/2006/main" xmlns:r="http://schemas.openxmlformats.org/officeDocument/2006/relationships">
  <dimension ref="A1:AMK12"/>
  <sheetViews>
    <sheetView workbookViewId="0">
      <selection activeCell="D14" activeCellId="1" sqref="O43:O45 D14"/>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375</v>
      </c>
      <c r="C1" s="3"/>
      <c r="D1" s="3"/>
      <c r="E1" s="3"/>
      <c r="F1" s="3"/>
      <c r="G1" s="3"/>
      <c r="H1" s="3"/>
      <c r="I1" s="3"/>
    </row>
    <row r="2" spans="2:9" ht="18">
      <c r="B2" s="2" t="s">
        <v>376</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51">
      <c r="B7" s="20" t="s">
        <v>155</v>
      </c>
      <c r="C7" s="21" t="s">
        <v>377</v>
      </c>
      <c r="D7" s="21" t="s">
        <v>368</v>
      </c>
      <c r="E7" s="18"/>
      <c r="F7" s="18"/>
      <c r="G7" s="18"/>
      <c r="H7" s="18"/>
      <c r="I7" s="18"/>
    </row>
    <row r="8" spans="2:9" ht="25.5">
      <c r="B8" s="20" t="s">
        <v>208</v>
      </c>
      <c r="C8" s="21" t="s">
        <v>369</v>
      </c>
      <c r="D8" s="27" t="s">
        <v>370</v>
      </c>
    </row>
    <row r="9" spans="2:9" ht="51">
      <c r="B9" s="19" t="s">
        <v>211</v>
      </c>
      <c r="C9" s="21" t="s">
        <v>371</v>
      </c>
      <c r="D9" s="21" t="s">
        <v>372</v>
      </c>
    </row>
    <row r="10" spans="2:9" ht="38.25">
      <c r="B10" s="20" t="s">
        <v>214</v>
      </c>
      <c r="C10" s="21" t="s">
        <v>373</v>
      </c>
      <c r="D10" s="21" t="s">
        <v>374</v>
      </c>
      <c r="E10" s="18"/>
      <c r="F10" s="18"/>
      <c r="G10" s="18"/>
      <c r="H10" s="18"/>
      <c r="I10" s="18"/>
    </row>
    <row r="11" spans="2:9" ht="12.75">
      <c r="B11" s="20" t="s">
        <v>217</v>
      </c>
      <c r="C11" s="21"/>
      <c r="D11" s="21"/>
    </row>
    <row r="12" spans="2:9" ht="12.75">
      <c r="B12" s="19" t="s">
        <v>220</v>
      </c>
      <c r="C12" s="21"/>
      <c r="D12"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6.xml><?xml version="1.0" encoding="utf-8"?>
<worksheet xmlns="http://schemas.openxmlformats.org/spreadsheetml/2006/main" xmlns:r="http://schemas.openxmlformats.org/officeDocument/2006/relationships">
  <dimension ref="A1:AMK14"/>
  <sheetViews>
    <sheetView workbookViewId="0">
      <selection activeCell="D17" activeCellId="1" sqref="O43:O45 D1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378</v>
      </c>
      <c r="C1" s="3"/>
      <c r="D1" s="3"/>
      <c r="E1" s="3"/>
      <c r="F1" s="3"/>
      <c r="G1" s="3"/>
      <c r="H1" s="3"/>
      <c r="I1" s="3"/>
    </row>
    <row r="2" spans="2:9" ht="18">
      <c r="B2" s="2" t="s">
        <v>379</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8"/>
      <c r="C6" s="30" t="s">
        <v>380</v>
      </c>
      <c r="D6" s="18"/>
      <c r="E6" s="18"/>
      <c r="F6" s="18"/>
      <c r="G6" s="18"/>
      <c r="H6" s="18"/>
      <c r="I6" s="18"/>
    </row>
    <row r="7" spans="2:9" ht="12.75">
      <c r="B7" s="18"/>
      <c r="C7" s="18"/>
      <c r="D7" s="18"/>
      <c r="E7" s="18"/>
      <c r="F7" s="18"/>
      <c r="G7" s="18"/>
      <c r="H7" s="18"/>
      <c r="I7" s="18"/>
    </row>
    <row r="8" spans="2:9" ht="12.75">
      <c r="B8" s="19" t="s">
        <v>153</v>
      </c>
      <c r="C8" s="19" t="s">
        <v>3</v>
      </c>
      <c r="D8" s="19" t="s">
        <v>154</v>
      </c>
      <c r="E8" s="18"/>
      <c r="F8" s="18"/>
      <c r="G8" s="18"/>
      <c r="H8" s="18"/>
      <c r="I8" s="18"/>
    </row>
    <row r="9" spans="2:9" ht="38.25">
      <c r="B9" s="20" t="s">
        <v>155</v>
      </c>
      <c r="C9" s="21" t="s">
        <v>381</v>
      </c>
      <c r="D9" s="21" t="s">
        <v>382</v>
      </c>
      <c r="E9" s="18"/>
      <c r="F9" s="18"/>
      <c r="G9" s="18"/>
      <c r="H9" s="18"/>
      <c r="I9" s="18"/>
    </row>
    <row r="10" spans="2:9" ht="38.25">
      <c r="B10" s="20" t="s">
        <v>208</v>
      </c>
      <c r="C10" s="21" t="s">
        <v>383</v>
      </c>
      <c r="D10" s="21" t="s">
        <v>384</v>
      </c>
    </row>
    <row r="11" spans="2:9" ht="51">
      <c r="B11" s="19" t="s">
        <v>211</v>
      </c>
      <c r="C11" s="21" t="s">
        <v>385</v>
      </c>
      <c r="D11" s="21" t="s">
        <v>386</v>
      </c>
    </row>
    <row r="12" spans="2:9" ht="12.75">
      <c r="B12" s="20" t="s">
        <v>214</v>
      </c>
      <c r="C12" s="21"/>
      <c r="D12" s="21"/>
      <c r="E12" s="18"/>
      <c r="F12" s="18"/>
      <c r="G12" s="18"/>
      <c r="H12" s="18"/>
      <c r="I12" s="18"/>
    </row>
    <row r="13" spans="2:9" ht="12.75">
      <c r="B13" s="20" t="s">
        <v>217</v>
      </c>
      <c r="C13" s="21"/>
      <c r="D13" s="21"/>
    </row>
    <row r="14" spans="2:9" ht="12.75">
      <c r="B14" s="19" t="s">
        <v>220</v>
      </c>
      <c r="C14" s="21"/>
      <c r="D14"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7.xml><?xml version="1.0" encoding="utf-8"?>
<worksheet xmlns="http://schemas.openxmlformats.org/spreadsheetml/2006/main" xmlns:r="http://schemas.openxmlformats.org/officeDocument/2006/relationships">
  <dimension ref="A1:AMK14"/>
  <sheetViews>
    <sheetView workbookViewId="0">
      <selection activeCell="D18" activeCellId="1" sqref="O43:O45 D18"/>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378</v>
      </c>
      <c r="C1" s="3"/>
      <c r="D1" s="3"/>
      <c r="E1" s="3"/>
      <c r="F1" s="3"/>
      <c r="G1" s="3"/>
      <c r="H1" s="3"/>
      <c r="I1" s="3"/>
    </row>
    <row r="2" spans="2:9" ht="18">
      <c r="B2" s="2" t="s">
        <v>387</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8"/>
      <c r="C6" s="30" t="s">
        <v>380</v>
      </c>
      <c r="D6" s="18"/>
      <c r="E6" s="18"/>
      <c r="F6" s="18"/>
      <c r="G6" s="18"/>
      <c r="H6" s="18"/>
      <c r="I6" s="18"/>
    </row>
    <row r="7" spans="2:9" ht="12.75">
      <c r="B7" s="18"/>
      <c r="C7" s="18"/>
      <c r="D7" s="18"/>
      <c r="E7" s="18"/>
      <c r="F7" s="18"/>
      <c r="G7" s="18"/>
      <c r="H7" s="18"/>
      <c r="I7" s="18"/>
    </row>
    <row r="8" spans="2:9" ht="12.75">
      <c r="B8" s="19" t="s">
        <v>153</v>
      </c>
      <c r="C8" s="19" t="s">
        <v>3</v>
      </c>
      <c r="D8" s="19" t="s">
        <v>154</v>
      </c>
      <c r="E8" s="18"/>
      <c r="F8" s="18"/>
      <c r="G8" s="18"/>
      <c r="H8" s="18"/>
      <c r="I8" s="18"/>
    </row>
    <row r="9" spans="2:9" ht="38.25">
      <c r="B9" s="20" t="s">
        <v>155</v>
      </c>
      <c r="C9" s="21" t="s">
        <v>388</v>
      </c>
      <c r="D9" s="21" t="s">
        <v>382</v>
      </c>
      <c r="E9" s="18"/>
      <c r="F9" s="18"/>
      <c r="G9" s="18"/>
      <c r="H9" s="18"/>
      <c r="I9" s="18"/>
    </row>
    <row r="10" spans="2:9" ht="38.25">
      <c r="B10" s="20" t="s">
        <v>208</v>
      </c>
      <c r="C10" s="21" t="s">
        <v>389</v>
      </c>
      <c r="D10" s="21" t="s">
        <v>390</v>
      </c>
    </row>
    <row r="11" spans="2:9" ht="51">
      <c r="B11" s="19" t="s">
        <v>211</v>
      </c>
      <c r="C11" s="21" t="s">
        <v>391</v>
      </c>
      <c r="D11" s="21" t="s">
        <v>392</v>
      </c>
    </row>
    <row r="12" spans="2:9" ht="38.25">
      <c r="B12" s="20" t="s">
        <v>214</v>
      </c>
      <c r="C12" s="21" t="s">
        <v>393</v>
      </c>
      <c r="D12" s="21" t="s">
        <v>382</v>
      </c>
      <c r="E12" s="18"/>
      <c r="F12" s="18"/>
      <c r="G12" s="18"/>
      <c r="H12" s="18"/>
      <c r="I12" s="18"/>
    </row>
    <row r="13" spans="2:9" ht="38.25">
      <c r="B13" s="20" t="s">
        <v>217</v>
      </c>
      <c r="C13" s="21" t="s">
        <v>394</v>
      </c>
      <c r="D13" s="21" t="s">
        <v>395</v>
      </c>
    </row>
    <row r="14" spans="2:9" ht="51">
      <c r="B14" s="19" t="s">
        <v>220</v>
      </c>
      <c r="C14" s="21" t="s">
        <v>396</v>
      </c>
      <c r="D14" s="21" t="s">
        <v>397</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8.xml><?xml version="1.0" encoding="utf-8"?>
<worksheet xmlns="http://schemas.openxmlformats.org/spreadsheetml/2006/main" xmlns:r="http://schemas.openxmlformats.org/officeDocument/2006/relationships">
  <dimension ref="A1:AMK14"/>
  <sheetViews>
    <sheetView workbookViewId="0">
      <selection activeCell="D10" activeCellId="1" sqref="O43:O45 D10"/>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398</v>
      </c>
      <c r="C1" s="3"/>
      <c r="D1" s="3"/>
      <c r="E1" s="3"/>
      <c r="F1" s="3"/>
      <c r="G1" s="3"/>
      <c r="H1" s="3"/>
      <c r="I1" s="3"/>
    </row>
    <row r="2" spans="2:9" ht="18">
      <c r="B2" s="2" t="s">
        <v>399</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8"/>
      <c r="C6" s="30" t="s">
        <v>400</v>
      </c>
      <c r="D6" s="18"/>
      <c r="E6" s="18"/>
      <c r="F6" s="18"/>
      <c r="G6" s="18"/>
      <c r="H6" s="18"/>
      <c r="I6" s="18"/>
    </row>
    <row r="7" spans="2:9" ht="12.75">
      <c r="B7" s="18"/>
      <c r="C7" s="18"/>
      <c r="D7" s="18"/>
      <c r="E7" s="18"/>
      <c r="F7" s="18"/>
      <c r="G7" s="18"/>
      <c r="H7" s="18"/>
      <c r="I7" s="18"/>
    </row>
    <row r="8" spans="2:9" ht="12.75">
      <c r="B8" s="19" t="s">
        <v>153</v>
      </c>
      <c r="C8" s="19" t="s">
        <v>3</v>
      </c>
      <c r="D8" s="19" t="s">
        <v>154</v>
      </c>
      <c r="E8" s="18"/>
      <c r="F8" s="18"/>
      <c r="G8" s="18"/>
      <c r="H8" s="18"/>
      <c r="I8" s="18"/>
    </row>
    <row r="9" spans="2:9" ht="63.75">
      <c r="B9" s="20" t="s">
        <v>155</v>
      </c>
      <c r="C9" s="21" t="s">
        <v>401</v>
      </c>
      <c r="D9" s="21" t="s">
        <v>402</v>
      </c>
      <c r="E9" s="18"/>
      <c r="F9" s="18"/>
      <c r="G9" s="18"/>
      <c r="H9" s="18"/>
      <c r="I9" s="18"/>
    </row>
    <row r="10" spans="2:9" ht="51">
      <c r="B10" s="20" t="s">
        <v>208</v>
      </c>
      <c r="C10" s="21" t="s">
        <v>403</v>
      </c>
      <c r="D10" s="21" t="s">
        <v>404</v>
      </c>
    </row>
    <row r="11" spans="2:9" ht="12.75">
      <c r="B11" s="19" t="s">
        <v>211</v>
      </c>
      <c r="C11" s="21"/>
      <c r="D11" s="21"/>
    </row>
    <row r="12" spans="2:9" ht="12.75">
      <c r="B12" s="20" t="s">
        <v>214</v>
      </c>
      <c r="C12" s="21"/>
      <c r="D12" s="21"/>
      <c r="E12" s="18"/>
      <c r="F12" s="18"/>
      <c r="G12" s="18"/>
      <c r="H12" s="18"/>
      <c r="I12" s="18"/>
    </row>
    <row r="13" spans="2:9" ht="12.75">
      <c r="B13" s="20" t="s">
        <v>217</v>
      </c>
      <c r="C13" s="21"/>
      <c r="D13" s="21"/>
    </row>
    <row r="14" spans="2:9" ht="12.75">
      <c r="B14" s="19" t="s">
        <v>220</v>
      </c>
      <c r="C14" s="21"/>
      <c r="D14"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9.xml><?xml version="1.0" encoding="utf-8"?>
<worksheet xmlns="http://schemas.openxmlformats.org/spreadsheetml/2006/main" xmlns:r="http://schemas.openxmlformats.org/officeDocument/2006/relationships">
  <dimension ref="A1:AMK14"/>
  <sheetViews>
    <sheetView workbookViewId="0">
      <selection activeCell="D10" activeCellId="1" sqref="O43:O45 D10"/>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398</v>
      </c>
      <c r="C1" s="3"/>
      <c r="D1" s="3"/>
      <c r="E1" s="3"/>
      <c r="F1" s="3"/>
      <c r="G1" s="3"/>
      <c r="H1" s="3"/>
      <c r="I1" s="3"/>
    </row>
    <row r="2" spans="2:9" ht="18">
      <c r="B2" s="2" t="s">
        <v>405</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8"/>
      <c r="C6" s="30" t="s">
        <v>400</v>
      </c>
      <c r="D6" s="18"/>
      <c r="E6" s="18"/>
      <c r="F6" s="18"/>
      <c r="G6" s="18"/>
      <c r="H6" s="18"/>
      <c r="I6" s="18"/>
    </row>
    <row r="7" spans="2:9" ht="12.75">
      <c r="B7" s="18"/>
      <c r="C7" s="18"/>
      <c r="D7" s="18"/>
      <c r="E7" s="18"/>
      <c r="F7" s="18"/>
      <c r="G7" s="18"/>
      <c r="H7" s="18"/>
      <c r="I7" s="18"/>
    </row>
    <row r="8" spans="2:9" ht="12.75">
      <c r="B8" s="19" t="s">
        <v>153</v>
      </c>
      <c r="C8" s="19" t="s">
        <v>3</v>
      </c>
      <c r="D8" s="19" t="s">
        <v>154</v>
      </c>
      <c r="E8" s="18"/>
      <c r="F8" s="18"/>
      <c r="G8" s="18"/>
      <c r="H8" s="18"/>
      <c r="I8" s="18"/>
    </row>
    <row r="9" spans="2:9" ht="76.5">
      <c r="B9" s="20" t="s">
        <v>155</v>
      </c>
      <c r="C9" s="21" t="s">
        <v>406</v>
      </c>
      <c r="D9" s="21" t="s">
        <v>407</v>
      </c>
      <c r="E9" s="18"/>
      <c r="F9" s="18"/>
      <c r="G9" s="18"/>
      <c r="H9" s="18"/>
      <c r="I9" s="18"/>
    </row>
    <row r="10" spans="2:9" ht="51">
      <c r="B10" s="20" t="s">
        <v>208</v>
      </c>
      <c r="C10" s="21" t="s">
        <v>403</v>
      </c>
      <c r="D10" s="21" t="s">
        <v>408</v>
      </c>
    </row>
    <row r="11" spans="2:9" ht="12.75">
      <c r="B11" s="19" t="s">
        <v>211</v>
      </c>
      <c r="C11" s="21"/>
      <c r="D11" s="21"/>
    </row>
    <row r="12" spans="2:9" ht="12.75">
      <c r="B12" s="20" t="s">
        <v>214</v>
      </c>
      <c r="C12" s="21"/>
      <c r="D12" s="21"/>
      <c r="E12" s="18"/>
      <c r="F12" s="18"/>
      <c r="G12" s="18"/>
      <c r="H12" s="18"/>
      <c r="I12" s="18"/>
    </row>
    <row r="13" spans="2:9" ht="12.75">
      <c r="B13" s="20" t="s">
        <v>217</v>
      </c>
      <c r="C13" s="21"/>
      <c r="D13" s="21"/>
    </row>
    <row r="14" spans="2:9" ht="12.75">
      <c r="B14" s="19" t="s">
        <v>220</v>
      </c>
      <c r="C14" s="21"/>
      <c r="D14"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0.xml><?xml version="1.0" encoding="utf-8"?>
<worksheet xmlns="http://schemas.openxmlformats.org/spreadsheetml/2006/main" xmlns:r="http://schemas.openxmlformats.org/officeDocument/2006/relationships">
  <dimension ref="A1:AMK12"/>
  <sheetViews>
    <sheetView workbookViewId="0">
      <selection activeCell="D7" activeCellId="1" sqref="O43:O45 D7"/>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409</v>
      </c>
      <c r="C1" s="3"/>
      <c r="D1" s="3"/>
      <c r="E1" s="3"/>
      <c r="F1" s="3"/>
      <c r="G1" s="3"/>
      <c r="H1" s="3"/>
      <c r="I1" s="3"/>
    </row>
    <row r="2" spans="2:9" ht="18">
      <c r="B2" s="2" t="s">
        <v>410</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89.25">
      <c r="B7" s="20" t="s">
        <v>155</v>
      </c>
      <c r="C7" s="27" t="s">
        <v>411</v>
      </c>
      <c r="D7" s="21" t="s">
        <v>412</v>
      </c>
      <c r="E7" s="18"/>
      <c r="F7" s="18"/>
      <c r="G7" s="18"/>
      <c r="H7" s="18"/>
      <c r="I7" s="18"/>
    </row>
    <row r="8" spans="2:9" ht="51">
      <c r="B8" s="20" t="s">
        <v>208</v>
      </c>
      <c r="C8" s="21" t="s">
        <v>403</v>
      </c>
      <c r="D8" s="21" t="s">
        <v>413</v>
      </c>
    </row>
    <row r="9" spans="2:9" ht="12.75">
      <c r="B9" s="19" t="s">
        <v>211</v>
      </c>
      <c r="C9" s="21"/>
      <c r="D9" s="21"/>
    </row>
    <row r="10" spans="2:9" ht="12.75">
      <c r="B10" s="20" t="s">
        <v>214</v>
      </c>
      <c r="C10" s="21"/>
      <c r="D10" s="21"/>
      <c r="E10" s="18"/>
      <c r="F10" s="18"/>
      <c r="G10" s="18"/>
      <c r="H10" s="18"/>
      <c r="I10" s="18"/>
    </row>
    <row r="11" spans="2:9" ht="12.75">
      <c r="B11" s="20" t="s">
        <v>217</v>
      </c>
      <c r="C11" s="21"/>
      <c r="D11" s="21"/>
    </row>
    <row r="12" spans="2:9" ht="12.75">
      <c r="B12" s="19" t="s">
        <v>220</v>
      </c>
      <c r="C12" s="21"/>
      <c r="D12"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1.xml><?xml version="1.0" encoding="utf-8"?>
<worksheet xmlns="http://schemas.openxmlformats.org/spreadsheetml/2006/main" xmlns:r="http://schemas.openxmlformats.org/officeDocument/2006/relationships">
  <dimension ref="A1:AMK12"/>
  <sheetViews>
    <sheetView workbookViewId="0">
      <selection activeCell="D16" activeCellId="1" sqref="O43:O45 D16"/>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414</v>
      </c>
      <c r="C1" s="3"/>
      <c r="D1" s="3"/>
      <c r="E1" s="3"/>
      <c r="F1" s="3"/>
      <c r="G1" s="3"/>
      <c r="H1" s="3"/>
      <c r="I1" s="3"/>
    </row>
    <row r="2" spans="2:9" ht="18">
      <c r="B2" s="2" t="s">
        <v>415</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38.25">
      <c r="B7" s="20" t="s">
        <v>155</v>
      </c>
      <c r="C7" s="21" t="s">
        <v>416</v>
      </c>
      <c r="D7" s="21" t="s">
        <v>417</v>
      </c>
      <c r="E7" s="18"/>
      <c r="F7" s="18"/>
      <c r="G7" s="18"/>
      <c r="H7" s="18"/>
      <c r="I7" s="18"/>
    </row>
    <row r="8" spans="2:9" ht="12.75">
      <c r="B8" s="20" t="s">
        <v>208</v>
      </c>
      <c r="C8" s="21"/>
      <c r="D8" s="21"/>
    </row>
    <row r="9" spans="2:9" ht="12.75">
      <c r="B9" s="19" t="s">
        <v>211</v>
      </c>
      <c r="C9" s="21"/>
      <c r="D9" s="21"/>
    </row>
    <row r="10" spans="2:9" ht="12.75">
      <c r="B10" s="20" t="s">
        <v>214</v>
      </c>
      <c r="C10" s="21"/>
      <c r="D10" s="21"/>
      <c r="E10" s="18"/>
      <c r="F10" s="18"/>
      <c r="G10" s="18"/>
      <c r="H10" s="18"/>
      <c r="I10" s="18"/>
    </row>
    <row r="11" spans="2:9" ht="12.75">
      <c r="B11" s="20" t="s">
        <v>217</v>
      </c>
      <c r="C11" s="21"/>
      <c r="D11" s="21"/>
    </row>
    <row r="12" spans="2:9" ht="12.75">
      <c r="B12" s="19" t="s">
        <v>220</v>
      </c>
      <c r="C12" s="21"/>
      <c r="D12" s="21"/>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2.xml><?xml version="1.0" encoding="utf-8"?>
<worksheet xmlns="http://schemas.openxmlformats.org/spreadsheetml/2006/main" xmlns:r="http://schemas.openxmlformats.org/officeDocument/2006/relationships">
  <dimension ref="A1:AMK12"/>
  <sheetViews>
    <sheetView workbookViewId="0">
      <selection activeCell="C11" activeCellId="1" sqref="O43:O45 C11"/>
    </sheetView>
  </sheetViews>
  <sheetFormatPr defaultRowHeight="15"/>
  <cols>
    <col min="1" max="1" width="4" style="16"/>
    <col min="2" max="2" width="15.28515625" style="16"/>
    <col min="3" max="3" width="54.42578125" style="16"/>
    <col min="4" max="4" width="84.28515625" style="16"/>
    <col min="5" max="1025" width="15.28515625" style="16"/>
  </cols>
  <sheetData>
    <row r="1" spans="2:9" ht="18">
      <c r="B1" s="3" t="s">
        <v>418</v>
      </c>
      <c r="C1" s="3"/>
      <c r="D1" s="3"/>
      <c r="E1" s="3"/>
      <c r="F1" s="3"/>
      <c r="G1" s="3"/>
      <c r="H1" s="3"/>
      <c r="I1" s="3"/>
    </row>
    <row r="2" spans="2:9" ht="18">
      <c r="B2" s="2" t="s">
        <v>415</v>
      </c>
      <c r="C2" s="2"/>
      <c r="D2" s="2"/>
      <c r="E2" s="2"/>
      <c r="F2" s="2"/>
      <c r="G2" s="2"/>
      <c r="H2" s="2"/>
      <c r="I2" s="2"/>
    </row>
    <row r="3" spans="2:9" ht="18">
      <c r="B3" s="17"/>
      <c r="C3" s="18"/>
      <c r="D3" s="18"/>
      <c r="E3" s="18"/>
      <c r="F3" s="18"/>
      <c r="G3" s="18"/>
      <c r="H3" s="18"/>
      <c r="I3" s="18"/>
    </row>
    <row r="4" spans="2:9" ht="18">
      <c r="B4" s="1" t="s">
        <v>153</v>
      </c>
      <c r="C4" s="1"/>
      <c r="D4" s="1"/>
      <c r="E4" s="1"/>
      <c r="F4" s="1"/>
      <c r="G4" s="1"/>
      <c r="H4" s="1"/>
      <c r="I4" s="1"/>
    </row>
    <row r="5" spans="2:9" ht="12.75">
      <c r="B5" s="18"/>
      <c r="C5" s="18"/>
      <c r="D5" s="18"/>
      <c r="E5" s="18"/>
      <c r="F5" s="18"/>
      <c r="G5" s="18"/>
      <c r="H5" s="18"/>
      <c r="I5" s="18"/>
    </row>
    <row r="6" spans="2:9" ht="12.75">
      <c r="B6" s="19" t="s">
        <v>153</v>
      </c>
      <c r="C6" s="19" t="s">
        <v>3</v>
      </c>
      <c r="D6" s="19" t="s">
        <v>154</v>
      </c>
      <c r="E6" s="18"/>
      <c r="F6" s="18"/>
      <c r="G6" s="18"/>
      <c r="H6" s="18"/>
      <c r="I6" s="18"/>
    </row>
    <row r="7" spans="2:9" ht="25.5">
      <c r="B7" s="20" t="s">
        <v>155</v>
      </c>
      <c r="C7" s="21" t="s">
        <v>419</v>
      </c>
      <c r="D7" s="21" t="s">
        <v>420</v>
      </c>
      <c r="E7" s="18"/>
      <c r="F7" s="18"/>
      <c r="G7" s="18"/>
      <c r="H7" s="18"/>
      <c r="I7" s="18"/>
    </row>
    <row r="8" spans="2:9" ht="12.75">
      <c r="B8" s="20" t="s">
        <v>208</v>
      </c>
      <c r="C8" s="21" t="s">
        <v>421</v>
      </c>
      <c r="D8" s="21" t="s">
        <v>422</v>
      </c>
    </row>
    <row r="9" spans="2:9" ht="25.5">
      <c r="B9" s="19" t="s">
        <v>211</v>
      </c>
      <c r="C9" s="21" t="s">
        <v>423</v>
      </c>
      <c r="D9" s="21" t="s">
        <v>424</v>
      </c>
    </row>
    <row r="10" spans="2:9" ht="25.5">
      <c r="B10" s="20" t="s">
        <v>214</v>
      </c>
      <c r="C10" s="21" t="s">
        <v>425</v>
      </c>
      <c r="D10" s="21" t="s">
        <v>426</v>
      </c>
      <c r="E10" s="18"/>
      <c r="F10" s="18"/>
      <c r="G10" s="18"/>
      <c r="H10" s="18"/>
      <c r="I10" s="18"/>
    </row>
    <row r="11" spans="2:9" ht="12.75">
      <c r="B11" s="20" t="s">
        <v>217</v>
      </c>
      <c r="C11" s="21" t="s">
        <v>421</v>
      </c>
      <c r="D11" s="21" t="s">
        <v>427</v>
      </c>
    </row>
    <row r="12" spans="2:9" ht="25.5">
      <c r="B12" s="19" t="s">
        <v>220</v>
      </c>
      <c r="C12" s="21" t="s">
        <v>423</v>
      </c>
      <c r="D12" s="21" t="s">
        <v>428</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3.xml><?xml version="1.0" encoding="utf-8"?>
<worksheet xmlns="http://schemas.openxmlformats.org/spreadsheetml/2006/main" xmlns:r="http://schemas.openxmlformats.org/officeDocument/2006/relationships">
  <dimension ref="A1:AMK1"/>
  <sheetViews>
    <sheetView topLeftCell="A78" zoomScale="85" zoomScaleNormal="85" workbookViewId="0">
      <selection activeCell="B83" activeCellId="1" sqref="O43:O45 B83"/>
    </sheetView>
  </sheetViews>
  <sheetFormatPr defaultRowHeight="15"/>
  <cols>
    <col min="1" max="1" width="10.85546875" style="4"/>
    <col min="2" max="1025" width="9.140625" style="4"/>
  </cols>
  <sheetData>
    <row r="1" spans="1:1" ht="327.75" customHeight="1">
      <c r="A1" s="31" t="s">
        <v>429</v>
      </c>
    </row>
  </sheetData>
  <pageMargins left="0.7" right="0.7" top="0.75" bottom="0.75" header="0.51180555555555496" footer="0.51180555555555496"/>
  <pageSetup paperSize="0" scale="0" firstPageNumber="0" orientation="portrait" usePrinterDefaults="0"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1825637-27FE-428F-857F-077487D96996}"/>
</file>

<file path=customXml/itemProps2.xml><?xml version="1.0" encoding="utf-8"?>
<ds:datastoreItem xmlns:ds="http://schemas.openxmlformats.org/officeDocument/2006/customXml" ds:itemID="{996DD0C2-9CFB-4E25-9BC0-0F896E0C69C7}"/>
</file>

<file path=customXml/itemProps3.xml><?xml version="1.0" encoding="utf-8"?>
<ds:datastoreItem xmlns:ds="http://schemas.openxmlformats.org/officeDocument/2006/customXml" ds:itemID="{E3B44823-6C1C-4373-9CF9-F9E4E4E6F2FA}"/>
</file>

<file path=docProps/app.xml><?xml version="1.0" encoding="utf-8"?>
<Properties xmlns="http://schemas.openxmlformats.org/officeDocument/2006/extended-properties" xmlns:vt="http://schemas.openxmlformats.org/officeDocument/2006/docPropsVTypes">
  <TotalTime>0</TotalTime>
  <Application>LibreOffice/3.4$Unix LibreOffice_project/340m1$Build-502</Application>
  <DocSecurity>0</DocSecurity>
  <ScaleCrop>false</ScaleCrop>
  <HeadingPairs>
    <vt:vector size="2" baseType="variant">
      <vt:variant>
        <vt:lpstr>Worksheets</vt:lpstr>
      </vt:variant>
      <vt:variant>
        <vt:i4>53</vt:i4>
      </vt:variant>
    </vt:vector>
  </HeadingPairs>
  <TitlesOfParts>
    <vt:vector size="53" baseType="lpstr">
      <vt:lpstr>Statistique</vt:lpstr>
      <vt:lpstr>RDG_IRL_DN</vt:lpstr>
      <vt:lpstr>RDG_IRL_DD</vt:lpstr>
      <vt:lpstr>RDG_IRL_CT_1</vt:lpstr>
      <vt:lpstr>RDG_IRL_CT_2</vt:lpstr>
      <vt:lpstr>RDG_IRL_CE_1</vt:lpstr>
      <vt:lpstr>RDG_IRL_CE_2</vt:lpstr>
      <vt:lpstr>RDG_IRL_CE_3</vt:lpstr>
      <vt:lpstr>RDG_IRL_ASC</vt:lpstr>
      <vt:lpstr>RDG_IRL_T</vt:lpstr>
      <vt:lpstr>RDG_IRL_RC</vt:lpstr>
      <vt:lpstr>RDG_IRL_Q_1</vt:lpstr>
      <vt:lpstr>RDG_IRL_Q_2</vt:lpstr>
      <vt:lpstr>RDG_IRL_C</vt:lpstr>
      <vt:lpstr>RDG_IRL_D</vt:lpstr>
      <vt:lpstr>RDG_IRL_CDD</vt:lpstr>
      <vt:lpstr>RDG_IRL_PDD</vt:lpstr>
      <vt:lpstr>RDG_IRL_MDD</vt:lpstr>
      <vt:lpstr>IRL_RF_1</vt:lpstr>
      <vt:lpstr>IRL_RF_2</vt:lpstr>
      <vt:lpstr>IRL_RVP_3</vt:lpstr>
      <vt:lpstr>IRL_RVP_4</vt:lpstr>
      <vt:lpstr>IRL_RVF_5</vt:lpstr>
      <vt:lpstr>IRL_RVF_6</vt:lpstr>
      <vt:lpstr>IRL_RVF_7</vt:lpstr>
      <vt:lpstr>IRL_RVF_8</vt:lpstr>
      <vt:lpstr>IRL_RVF_9</vt:lpstr>
      <vt:lpstr>IRL_RVF_10</vt:lpstr>
      <vt:lpstr>IRL_DF_5</vt:lpstr>
      <vt:lpstr>IRL_DF_6</vt:lpstr>
      <vt:lpstr>IRL_DVP_7</vt:lpstr>
      <vt:lpstr>IRL_DVP_8</vt:lpstr>
      <vt:lpstr>IRL_DVP_9</vt:lpstr>
      <vt:lpstr>IRL_DVP_10</vt:lpstr>
      <vt:lpstr>IRL_DVP_11</vt:lpstr>
      <vt:lpstr>IRL_DVP_12</vt:lpstr>
      <vt:lpstr>PRL_1_Transfert cross border</vt:lpstr>
      <vt:lpstr>PRL_2_Transfert cross border_Eu</vt:lpstr>
      <vt:lpstr>PRL_2_Transfert cross border_BP</vt:lpstr>
      <vt:lpstr>PRL_3_Transfert cross border</vt:lpstr>
      <vt:lpstr>PRL_REPO_RDG_1</vt:lpstr>
      <vt:lpstr>PRL_REPO_RDG_2</vt:lpstr>
      <vt:lpstr>PRL_REPO_RDG_3</vt:lpstr>
      <vt:lpstr>PRL_REPO_1_IRL REPO</vt:lpstr>
      <vt:lpstr>PRL_REPO_1_IRL RVPO</vt:lpstr>
      <vt:lpstr>Transfert transferts OPCVM via </vt:lpstr>
      <vt:lpstr>Recovered_Sheet1</vt:lpstr>
      <vt:lpstr>Tranfert interne 1</vt:lpstr>
      <vt:lpstr>Tranfert interne 2</vt:lpstr>
      <vt:lpstr>Transfer externe </vt:lpstr>
      <vt:lpstr>nantissement </vt:lpstr>
      <vt:lpstr>prêt_emprunt</vt:lpstr>
      <vt:lpstr>Définitions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student</cp:lastModifiedBy>
  <cp:revision>0</cp:revision>
  <dcterms:created xsi:type="dcterms:W3CDTF">2015-03-06T14:14:12Z</dcterms:created>
  <dcterms:modified xsi:type="dcterms:W3CDTF">2015-03-06T14:16:11Z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