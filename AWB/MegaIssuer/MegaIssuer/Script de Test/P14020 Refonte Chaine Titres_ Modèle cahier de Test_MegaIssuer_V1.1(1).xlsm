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 Folder\AWB\Analyse\Vermeg Analysis\cahier de test\"/>
    </mc:Choice>
  </mc:AlternateContent>
  <xr:revisionPtr revIDLastSave="0" documentId="11_7DCBE960C575084ADD1B4B7236E748EF7645FA2D" xr6:coauthVersionLast="47" xr6:coauthVersionMax="47" xr10:uidLastSave="{00000000-0000-0000-0000-000000000000}"/>
  <bookViews>
    <workbookView xWindow="0" yWindow="0" windowWidth="20490" windowHeight="7755" firstSheet="4" activeTab="4" xr2:uid="{00000000-000D-0000-FFFF-FFFF00000000}"/>
  </bookViews>
  <sheets>
    <sheet name="Page de garde" sheetId="13" r:id="rId1"/>
    <sheet name="Hist" sheetId="14" r:id="rId2"/>
    <sheet name="Général" sheetId="15" r:id="rId3"/>
    <sheet name="Guide d'utilisation" sheetId="10" r:id="rId4"/>
    <sheet name="Cahier de tests" sheetId="11" r:id="rId5"/>
    <sheet name="Statistiques" sheetId="12" r:id="rId6"/>
  </sheets>
  <externalReferences>
    <externalReference r:id="rId7"/>
  </externalReferences>
  <definedNames>
    <definedName name="_xlnm._FilterDatabase" localSheetId="4" hidden="1">'Cahier de tests'!$6:$170</definedName>
    <definedName name="debut" localSheetId="4">'Cahier de tests'!$8:$8</definedName>
    <definedName name="debut">#REF!</definedName>
    <definedName name="Fin" localSheetId="4">'Cahier de tests'!$A$190</definedName>
    <definedName name="Fin">#REF!</definedName>
    <definedName name="Finlist">'Cahier de tests'!$191:$191</definedName>
    <definedName name="Liste_Entite_Valeurs">[1]PARAM!$AG$1:$AG$1</definedName>
    <definedName name="Liste_Equipe_Valeurs">[1]PARAM!$AI$1:$AI$1</definedName>
    <definedName name="Liste_Iteration_Valeurs">[1]PARAM!$AA$1:$AA$10</definedName>
    <definedName name="Liste_Lot_Valeurs">[1]PARAM!$AC$1:$AC$1</definedName>
    <definedName name="_xlnm.Print_Area" localSheetId="2">Général!$A$1:$F$35</definedName>
    <definedName name="_xlnm.Print_Area" localSheetId="3">'Guide d''utilisation'!$A$1:$K$50</definedName>
    <definedName name="_xlnm.Print_Area" localSheetId="1">Hist!$A$1:$G$34</definedName>
    <definedName name="_xlnm.Print_Area" localSheetId="0">'Page de garde'!$A$1:$I$76</definedName>
    <definedName name="_xlnm.Print_Titles" localSheetId="4">'Cahier de tests'!$1:$6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2" l="1"/>
  <c r="J24" i="12"/>
  <c r="J18" i="12"/>
  <c r="J17" i="12"/>
  <c r="J10" i="12"/>
  <c r="J11" i="12"/>
  <c r="J15" i="12"/>
  <c r="J22" i="12"/>
  <c r="J8" i="12"/>
  <c r="B2" i="11"/>
  <c r="B3" i="11"/>
  <c r="D32" i="12"/>
  <c r="D31" i="12"/>
  <c r="D18" i="12"/>
  <c r="D24" i="12"/>
  <c r="D17" i="12"/>
  <c r="D29" i="12"/>
  <c r="D22" i="12"/>
  <c r="D15" i="12"/>
  <c r="D25" i="12"/>
  <c r="D8" i="12"/>
  <c r="D10" i="12"/>
  <c r="D11" i="12"/>
  <c r="J23" i="12" l="1"/>
  <c r="J26" i="12" s="1"/>
  <c r="J16" i="12"/>
  <c r="J19" i="12" s="1"/>
  <c r="J9" i="12"/>
  <c r="J12" i="12" s="1"/>
  <c r="D23" i="12"/>
  <c r="D26" i="12" s="1"/>
  <c r="D30" i="12"/>
  <c r="D33" i="12" s="1"/>
  <c r="D16" i="12"/>
  <c r="D19" i="12" s="1"/>
  <c r="D9" i="12"/>
  <c r="D12" i="12" s="1"/>
</calcChain>
</file>

<file path=xl/sharedStrings.xml><?xml version="1.0" encoding="utf-8"?>
<sst xmlns="http://schemas.openxmlformats.org/spreadsheetml/2006/main" count="1251" uniqueCount="583">
  <si>
    <t xml:space="preserve">                        ATTIJARIWAFA BANK</t>
  </si>
  <si>
    <t>DIAM'S_MOD_029_V1.2_Cahier de Tests</t>
  </si>
  <si>
    <t>Projet</t>
  </si>
  <si>
    <t>Nom projet</t>
  </si>
  <si>
    <t>Code projet</t>
  </si>
  <si>
    <t>code-projet</t>
  </si>
  <si>
    <t>Résumé document</t>
  </si>
  <si>
    <t>Modèle de cahier de tests</t>
  </si>
  <si>
    <t>Index_version modèle</t>
  </si>
  <si>
    <t>MOD_029_V1.2</t>
  </si>
  <si>
    <t>Version document</t>
  </si>
  <si>
    <t>V1.2</t>
  </si>
  <si>
    <t>Créé par</t>
  </si>
  <si>
    <t>Date de création</t>
  </si>
  <si>
    <t>Modifié par</t>
  </si>
  <si>
    <t>Majda ELBAYAD</t>
  </si>
  <si>
    <t>Date de dernière MAJ</t>
  </si>
  <si>
    <t>Validé par</t>
  </si>
  <si>
    <t>Date de validation</t>
  </si>
  <si>
    <t>Ce document est de la propriété d’AttijariWafa Bank. Son usage est strictement interne.</t>
  </si>
  <si>
    <t>Cahiers de tests</t>
  </si>
  <si>
    <t>Historique du document</t>
  </si>
  <si>
    <t>1- Aide</t>
  </si>
  <si>
    <t>Pour chaque modification du document, renseigner :
  - La date de mise à jour sous format JJ/MM/AAAA
  - Les auteurs ayant apporter la MAJ
  - Description succincte des mises à jour
  - La nouvelle version du document en incrémentant un des compteurs de version (x, y ou z selon les indication du PGC DIAM'S ==&gt; indiquer Réf document du PGC)
  - La version equivalente dans clearcase dans le cas d'une version validée (incrémentation obligatoire de y et z à zéro)</t>
  </si>
  <si>
    <t>Date</t>
  </si>
  <si>
    <t>Auteurs</t>
  </si>
  <si>
    <t>Objet MAJ</t>
  </si>
  <si>
    <t>Version</t>
  </si>
  <si>
    <t>Equiv. Clearcase</t>
  </si>
  <si>
    <t>Sara AREZKI</t>
  </si>
  <si>
    <t>Modification suite à la DA 109</t>
  </si>
  <si>
    <t>V1.1</t>
  </si>
  <si>
    <t>Réalisation de l'ACT 113.2</t>
  </si>
  <si>
    <t>Cahier de Tests</t>
  </si>
  <si>
    <t>Généralités</t>
  </si>
  <si>
    <t>1- Objectif du document</t>
  </si>
  <si>
    <t>Le présent document à pour objectif de lister l'ensemble des cas de tests qui seront déroulés lors de la phase Paramétrage/Développement, de faire leurs suivis en termes d'exécution de de traitement des anomalies.</t>
  </si>
  <si>
    <t>2- Circuit de validation</t>
  </si>
  <si>
    <t>Nom</t>
  </si>
  <si>
    <t>Vérification</t>
  </si>
  <si>
    <t>Approbation</t>
  </si>
  <si>
    <t>3- Liste de diffusion</t>
  </si>
  <si>
    <t>Emission</t>
  </si>
  <si>
    <t>4- Documents de référence</t>
  </si>
  <si>
    <t>Référence</t>
  </si>
  <si>
    <t>Titre document</t>
  </si>
  <si>
    <t>Manuel d'utilisation</t>
  </si>
  <si>
    <r>
      <t>Ce document  est constituée de 2 Principaux onglets : 
*</t>
    </r>
    <r>
      <rPr>
        <b/>
        <sz val="10"/>
        <rFont val="Calibri"/>
        <family val="2"/>
        <scheme val="minor"/>
      </rPr>
      <t>Onglet : "Cahier  de tests"</t>
    </r>
    <r>
      <rPr>
        <sz val="10"/>
        <rFont val="Calibri"/>
        <family val="2"/>
        <scheme val="minor"/>
      </rPr>
      <t xml:space="preserve">  contient l'ensemble des cas de tests  relatives aux types de tests (Unitaire, Intégration, Non régression, Performances).
*</t>
    </r>
    <r>
      <rPr>
        <b/>
        <sz val="10"/>
        <rFont val="Calibri"/>
        <family val="2"/>
        <scheme val="minor"/>
      </rPr>
      <t>Onglet : "Statistiques" :</t>
    </r>
    <r>
      <rPr>
        <sz val="10"/>
        <rFont val="Calibri"/>
        <family val="2"/>
        <scheme val="minor"/>
      </rPr>
      <t xml:space="preserve"> regroupe et synthétise les résultats de l'execution des cas de tests par type de tests.</t>
    </r>
  </si>
  <si>
    <t>Onglet Cahier de tests</t>
  </si>
  <si>
    <t>Champ</t>
  </si>
  <si>
    <t xml:space="preserve"> Description</t>
  </si>
  <si>
    <t xml:space="preserve">Code Projet </t>
  </si>
  <si>
    <t>Identifiant projet</t>
  </si>
  <si>
    <t xml:space="preserve">Intitulé du projet </t>
  </si>
  <si>
    <t>Description du projet</t>
  </si>
  <si>
    <t>Personnes qui redigent les cas de tests du plan de tests</t>
  </si>
  <si>
    <t>PROCESSUS</t>
  </si>
  <si>
    <t>Processus métier à tester</t>
  </si>
  <si>
    <t>FONCTION / APPLICATION</t>
  </si>
  <si>
    <t>la fonction ou l'application sujet du cas de tests</t>
  </si>
  <si>
    <t>NUM  EXIGENCES</t>
  </si>
  <si>
    <t>Numéro de l'exigences auquel est lié le cas de Tets, à récupérer du référentiel des exigences</t>
  </si>
  <si>
    <t>N° de cas</t>
  </si>
  <si>
    <t>identifiant incrémental du cas de  tests</t>
  </si>
  <si>
    <t>N° DE CAS DE TEST PREDECESSEUR</t>
  </si>
  <si>
    <t>Numéros de cas de Test obligatoire à executer avant le cas de tests  en cours</t>
  </si>
  <si>
    <t>DESCRIPTION DU CAS DE TEST 
ET DES CONDITIONS D'EXÉCUTION</t>
  </si>
  <si>
    <t xml:space="preserve">Détails des actions à réaliser </t>
  </si>
  <si>
    <t>TYPE DE TEST</t>
  </si>
  <si>
    <t xml:space="preserve">Choisir le type de test selon l'activité en cours:
Test unitaire 
Test de non regression
Test d'integration
Test de performance
Qualification technique
Qualification fonctionnelle
Qualification sécurité
</t>
  </si>
  <si>
    <t>RESULTATS ATTENDUS</t>
  </si>
  <si>
    <t>résultats attendus en exécutant  la description du cas de test</t>
  </si>
  <si>
    <t>RESULTATS OBSERVES</t>
  </si>
  <si>
    <t>Résultats Obtenus  aprés l'exécution du cas de test</t>
  </si>
  <si>
    <t>PREUVES DE TEST</t>
  </si>
  <si>
    <t>Insérer un lien hypertexte vers le document "Preuve de tests" ou mentionner la référence de la preuve de test comme définie au niveau du document cité précédemment.</t>
  </si>
  <si>
    <t xml:space="preserve">CALENDRIER   INITIAL </t>
  </si>
  <si>
    <t>Planning PREVISIONNEL initial d'exécution du cas de Tests</t>
  </si>
  <si>
    <t>CALENDRIER  ACTUALISE</t>
  </si>
  <si>
    <t>Date début (actualisée): Date de debut d'execution actualisée
Date  validation (Actualisée): Date de validation de l'execution actualisée</t>
  </si>
  <si>
    <t>STATUT (*)</t>
  </si>
  <si>
    <t xml:space="preserve">Liste déroulante:
' ' = Non Commencé
E = En Cours
V = Validé
A=  En anomalie  avec la référence à la fiche de liaison correspondante dans la colonne 'remarques'
</t>
  </si>
  <si>
    <t>RESPONSABLES DE TESTS</t>
  </si>
  <si>
    <t xml:space="preserve">
Personne qui a exécuté le cas de Tests</t>
  </si>
  <si>
    <t xml:space="preserve">CAHIER DE TESTS  </t>
  </si>
  <si>
    <t>JJ/MM/AAAA</t>
  </si>
  <si>
    <t xml:space="preserve">Intitulé  Projet </t>
  </si>
  <si>
    <t xml:space="preserve">Auteurs </t>
  </si>
  <si>
    <t>Application</t>
  </si>
  <si>
    <t xml:space="preserve">
PROCESSUS</t>
  </si>
  <si>
    <t>FONCTIONS (transaction, traitement batch)</t>
  </si>
  <si>
    <t>NUM 
EXIGENCE</t>
  </si>
  <si>
    <t>N° Page 
SFD</t>
  </si>
  <si>
    <t>N° DE CAS DE TESTS</t>
  </si>
  <si>
    <t>DESCRIPTION DES CAS DE TEST ET LES CONDITIONS D'EXÉCUTION</t>
  </si>
  <si>
    <t xml:space="preserve">
TYPE DE TEST</t>
  </si>
  <si>
    <t xml:space="preserve">
VALEURS DES DONNEES   ET EVENEMENT D'ENTREE</t>
  </si>
  <si>
    <t xml:space="preserve">
RESULTATS ATTENDUS</t>
  </si>
  <si>
    <t xml:space="preserve">
RESULTATS OBSERVES</t>
  </si>
  <si>
    <t xml:space="preserve">
PREUVES DE TESTS</t>
  </si>
  <si>
    <t>Charge d'execution
(en Heure)</t>
  </si>
  <si>
    <t xml:space="preserve">PLANNING  INITIAL </t>
  </si>
  <si>
    <t>PLANNING ACTUALISE</t>
  </si>
  <si>
    <t xml:space="preserve">
RESPONSABLE DU TEST</t>
  </si>
  <si>
    <t xml:space="preserve">
REMARQUES</t>
  </si>
  <si>
    <t>Date début (initiale)</t>
  </si>
  <si>
    <t>Date  validation (initiale)</t>
  </si>
  <si>
    <t>Date début (actualisée)</t>
  </si>
  <si>
    <t>Date  validation (actualisée)</t>
  </si>
  <si>
    <t>Tenu de registre</t>
  </si>
  <si>
    <t>Compte d'émission: création</t>
  </si>
  <si>
    <t>E001</t>
  </si>
  <si>
    <t>001</t>
  </si>
  <si>
    <t>Créer un compte pour Action</t>
  </si>
  <si>
    <t>Qualification fonctionnelle</t>
  </si>
  <si>
    <t>E</t>
  </si>
  <si>
    <t>002</t>
  </si>
  <si>
    <t>Créer un compte pour Obligation</t>
  </si>
  <si>
    <t>003</t>
  </si>
  <si>
    <t>Créer un compte pour OPCVM</t>
  </si>
  <si>
    <t>004</t>
  </si>
  <si>
    <t>Créer un compte pour coupon technique</t>
  </si>
  <si>
    <t>005</t>
  </si>
  <si>
    <t>Créer un compte pour droit de souscription</t>
  </si>
  <si>
    <t>006</t>
  </si>
  <si>
    <t>Création par simple user</t>
  </si>
  <si>
    <t>007</t>
  </si>
  <si>
    <t>Création par super validateur</t>
  </si>
  <si>
    <t>Compte d"émission : Alerte et contrôle</t>
  </si>
  <si>
    <t>008</t>
  </si>
  <si>
    <t>Créer un compte pour une valeur non tenu en registre</t>
  </si>
  <si>
    <t>009</t>
  </si>
  <si>
    <t>Créer un compte avec total Quantité != capital dans le référentiel</t>
  </si>
  <si>
    <t>010</t>
  </si>
  <si>
    <t xml:space="preserve">Créer un compte où un autre compte existe pour le même ISIN, même émetteur </t>
  </si>
  <si>
    <t>011</t>
  </si>
  <si>
    <t>Créer un compte avec un actionnaire manquant dans la partie Pur ou administré</t>
  </si>
  <si>
    <t xml:space="preserve">Compte d'émission: Mise à jour </t>
  </si>
  <si>
    <t>E002</t>
  </si>
  <si>
    <t>012</t>
  </si>
  <si>
    <t>Ajouter une ligne dans la partie pur, administré, technique</t>
  </si>
  <si>
    <t>013</t>
  </si>
  <si>
    <t>Modifier une ligne existante dans la partie pur, administré, technique</t>
  </si>
  <si>
    <t>014</t>
  </si>
  <si>
    <t>Mise à jour par simple user</t>
  </si>
  <si>
    <t>015</t>
  </si>
  <si>
    <t>Mise à jour  par super validateur</t>
  </si>
  <si>
    <t>Compte d'émission: Clôture</t>
  </si>
  <si>
    <t>E003</t>
  </si>
  <si>
    <t>016</t>
  </si>
  <si>
    <t>Clôture manuelle d'un compte d'émission Action</t>
  </si>
  <si>
    <t>017</t>
  </si>
  <si>
    <t>Clôture manuelle d'un compte d'émission Obligation</t>
  </si>
  <si>
    <t>018</t>
  </si>
  <si>
    <t>Clôture manuelle  d'un compte d'émission OPCVM</t>
  </si>
  <si>
    <t>019</t>
  </si>
  <si>
    <t xml:space="preserve">Clôture Automatique d'un compte d'émission coupon technique </t>
  </si>
  <si>
    <t>020</t>
  </si>
  <si>
    <t xml:space="preserve">Clôture Manuelle d'un compte d'émission droit de  souscription </t>
  </si>
  <si>
    <t>Compte d"émission : Processus du devrsement trimestriel du 370000</t>
  </si>
  <si>
    <t>E005</t>
  </si>
  <si>
    <t>021</t>
  </si>
  <si>
    <t>Génération de la lettre comptable avec Quantité = solde 370 000</t>
  </si>
  <si>
    <t>022</t>
  </si>
  <si>
    <t>Impacter le compte d'émission avec le solde 370000</t>
  </si>
  <si>
    <t>Opération : Conversion</t>
  </si>
  <si>
    <t>E006</t>
  </si>
  <si>
    <t>023</t>
  </si>
  <si>
    <t>Créer manuellement une conversion émise de Pur en administré</t>
  </si>
  <si>
    <t>024</t>
  </si>
  <si>
    <t>Créer manuellement une conversion émise de Pur en technique ( porteur)</t>
  </si>
  <si>
    <t>025</t>
  </si>
  <si>
    <t>Créer manuellement une conversion reçue d' administré en pur</t>
  </si>
  <si>
    <t>026</t>
  </si>
  <si>
    <t>Créer manuellement une conversion reçue de technique ( porteur) en pur</t>
  </si>
  <si>
    <t>027</t>
  </si>
  <si>
    <t>Créer dans MegaCustody une conversion émise de Pur en administré ( interfacée à MegaIssuer)</t>
  </si>
  <si>
    <t>028</t>
  </si>
  <si>
    <t>Créer dans MegaCustody  une conversion émise de Pur en technique ( porteur) ( interfacée à MegaIssuer)</t>
  </si>
  <si>
    <t>029</t>
  </si>
  <si>
    <t>Créer dans MegaCustody une conversion reçue d' administré en pur  ( interfacée à MegaIssuer)</t>
  </si>
  <si>
    <t>030</t>
  </si>
  <si>
    <t>Créer dans MegaCustody  une conversion reçue de technique ( porteur) en pur ( interfacée à MegaIssuer)</t>
  </si>
  <si>
    <t>031</t>
  </si>
  <si>
    <t>Création massive des conversion émise et reçu via Excel</t>
  </si>
  <si>
    <t>032</t>
  </si>
  <si>
    <t>Annulation manuelle d'une opération de conversion à MegaIssuer</t>
  </si>
  <si>
    <t xml:space="preserve">Opération : Transfert </t>
  </si>
  <si>
    <t>E007</t>
  </si>
  <si>
    <t>033</t>
  </si>
  <si>
    <t>Créer manuellement un transfert  Pur en Pur : Act 1 à Act 2</t>
  </si>
  <si>
    <t>034</t>
  </si>
  <si>
    <t xml:space="preserve">Créer manuellement un transfert  Administré en Administré : Act 1 à Act 2 chez un même Dépositaire </t>
  </si>
  <si>
    <t>035</t>
  </si>
  <si>
    <t>Créer manuellement un transfert  Administré en Administré : Act 1 à Act 2 chez deux Dépositaires</t>
  </si>
  <si>
    <t>036</t>
  </si>
  <si>
    <t>Créer manuellement un transfert  technique en technique  chez deux Dépositaires</t>
  </si>
  <si>
    <t>037</t>
  </si>
  <si>
    <t>Créer dans MegaCustody un transfert de Clt 1 à Clt 2 , même Dépo AWB (interfacée à MegaIssuer)</t>
  </si>
  <si>
    <t>038</t>
  </si>
  <si>
    <t>Créer dans MegaCustody un transfert de Clt 1 à Act 2 , du Dépo AWB vers autres (interfacée à MegaIssuer)</t>
  </si>
  <si>
    <t>039</t>
  </si>
  <si>
    <t>Créer dans MegaCustody un transfert de Act1 à Clt 2 , du autre dépo à AWB  (interfacée à MegaIssuer)</t>
  </si>
  <si>
    <t>040</t>
  </si>
  <si>
    <t>Création massive des transferts émise et reçu via Excel</t>
  </si>
  <si>
    <t>041</t>
  </si>
  <si>
    <t>Annulation manuelle d'une opération de transfert à MegaIssuer</t>
  </si>
  <si>
    <t>Opération : Vente</t>
  </si>
  <si>
    <t>E008</t>
  </si>
  <si>
    <t>042</t>
  </si>
  <si>
    <t>Création manuelle d'une opération de Vente Act 1 à Act 2</t>
  </si>
  <si>
    <t>043</t>
  </si>
  <si>
    <t>Création dans MegaCustody  d'une opération de Vente Clt  1 à Act 2 ( interfacée à MegaIssuer)</t>
  </si>
  <si>
    <t>044</t>
  </si>
  <si>
    <t>Création massive des Opérations de ventes via Excel</t>
  </si>
  <si>
    <t>045</t>
  </si>
  <si>
    <t>Annulation manuelle d'une opération de vente à MegaIssuer</t>
  </si>
  <si>
    <t>Opération : Achat</t>
  </si>
  <si>
    <t>046</t>
  </si>
  <si>
    <t>Création manuelle d'une opération d'achat Act 1 de Act 2</t>
  </si>
  <si>
    <t>047</t>
  </si>
  <si>
    <t>Création dans MegaCustody  d'une opération d'achat Clt  1 de Act 2 ( interfacée à MegaIssuer)</t>
  </si>
  <si>
    <t>048</t>
  </si>
  <si>
    <t>Création massive des Opérations d'achat via Excel</t>
  </si>
  <si>
    <t>049</t>
  </si>
  <si>
    <t>Annulation manuelle d'une opérationd'achat à MegaIssuer</t>
  </si>
  <si>
    <t>Opération : Souscription</t>
  </si>
  <si>
    <t>E009</t>
  </si>
  <si>
    <t>050</t>
  </si>
  <si>
    <t>création manuelle d'une souscription d'un client non déposant dans MegaIssuer</t>
  </si>
  <si>
    <t>051</t>
  </si>
  <si>
    <t>création dans MegaCustody d'une souscription d'un client déposant dans MegaIssuer ( interfacée à MegaIssuer)</t>
  </si>
  <si>
    <t>052</t>
  </si>
  <si>
    <t>Création massive des Opérations de souscriptions via Excel</t>
  </si>
  <si>
    <t>053</t>
  </si>
  <si>
    <t>Annulation manuelle d'une opération de souscriptions à MegaIssuer</t>
  </si>
  <si>
    <t>Opération : Rachat</t>
  </si>
  <si>
    <t>054</t>
  </si>
  <si>
    <t>création manuelle d'un rachat d'un client non déposant dans MegaIssuer</t>
  </si>
  <si>
    <t>055</t>
  </si>
  <si>
    <t>création dans MegaCustody d'un rachat d'un client déposant dans MegaIssuer ( interfacée à MegaIssuer)</t>
  </si>
  <si>
    <t>056</t>
  </si>
  <si>
    <t>Création massive des Opérations de rachat via Excel</t>
  </si>
  <si>
    <t>057</t>
  </si>
  <si>
    <t>Annulation manuelle d'une opération de rachat à MegaIssuer</t>
  </si>
  <si>
    <t>Opération : blocage</t>
  </si>
  <si>
    <t>E010</t>
  </si>
  <si>
    <t>058</t>
  </si>
  <si>
    <t xml:space="preserve">création manuelle d'un blocage de nominatif Pur </t>
  </si>
  <si>
    <t>059</t>
  </si>
  <si>
    <t xml:space="preserve">Annulation manuelle d'un blocage de nominatif Pur </t>
  </si>
  <si>
    <t>060</t>
  </si>
  <si>
    <t xml:space="preserve">Création massive des Opérations de blocage de nominatif Pur </t>
  </si>
  <si>
    <t>Opération : dé-blocage</t>
  </si>
  <si>
    <t>061</t>
  </si>
  <si>
    <t xml:space="preserve">création manuelle d'un dé-blocage de nominatif Pur </t>
  </si>
  <si>
    <t>062</t>
  </si>
  <si>
    <t xml:space="preserve">Annulation manuelle d'un dé-blocage de nominatif Pur </t>
  </si>
  <si>
    <t>063</t>
  </si>
  <si>
    <t xml:space="preserve">Création massive des Opérations de dé-blocage de nominatif Pur </t>
  </si>
  <si>
    <t>Opération : nantissement</t>
  </si>
  <si>
    <t>E011</t>
  </si>
  <si>
    <t>064</t>
  </si>
  <si>
    <t xml:space="preserve">création manuelle d'un nantissement de nominatif Pur </t>
  </si>
  <si>
    <t>065</t>
  </si>
  <si>
    <t xml:space="preserve">Annulation manuelle d'un nantissement de nominatif Pur </t>
  </si>
  <si>
    <t>066</t>
  </si>
  <si>
    <t xml:space="preserve">Création massive des Opérations de nantissement de nominatif Pur </t>
  </si>
  <si>
    <t>Opération : Levée de nantissement</t>
  </si>
  <si>
    <t>067</t>
  </si>
  <si>
    <t xml:space="preserve">création manuelle d'un levée de  nantissement de nominatif Pur </t>
  </si>
  <si>
    <t>068</t>
  </si>
  <si>
    <t xml:space="preserve">Annulation manuelle d'un levée de nantissement de nominatif Pur </t>
  </si>
  <si>
    <t>069</t>
  </si>
  <si>
    <t xml:space="preserve">Création massive des Opérations de levée de  nantissement de nominatif Pur </t>
  </si>
  <si>
    <t>Génération de la Répartition du capital</t>
  </si>
  <si>
    <t>E012-E017</t>
  </si>
  <si>
    <t>070</t>
  </si>
  <si>
    <t>Génération de la Répartition du capital d'une action à une Date T= business date 
Génération de la Répartition du capital d'une action à une Date T= business date -X jours</t>
  </si>
  <si>
    <t>071</t>
  </si>
  <si>
    <t>Génération de la Répartition du capital d'une Obligation à une Date T= business date 
Génération de la Répartition du capital d'une Obligation à une Date T= business date -X jours</t>
  </si>
  <si>
    <t>072</t>
  </si>
  <si>
    <t>Génération de la Répartition du capital d'un OPCVM à une Date T= business date 
Génération de la Répartition du capital d'un OPCVM à une Date T= business date -Xjours</t>
  </si>
  <si>
    <t>073</t>
  </si>
  <si>
    <t xml:space="preserve">Ajouter une opération tardive et regéner la répartition du capital Action qui touche au Pur </t>
  </si>
  <si>
    <t>074</t>
  </si>
  <si>
    <t xml:space="preserve">Ajouter une opération tardive et regéner la répartition du capital obligation qui touche au administré </t>
  </si>
  <si>
    <t>075</t>
  </si>
  <si>
    <t xml:space="preserve">Ajouter une opération tardive et regéner la répartition du capital OPCVM qui touche au technique </t>
  </si>
  <si>
    <t>076</t>
  </si>
  <si>
    <t>Fongibilité des avoirs des actionnaires ayant le même alternative code émetteur</t>
  </si>
  <si>
    <t>077</t>
  </si>
  <si>
    <t>Fongibilité des avoirs des actionnaires ayant deux alternatives code par émetteur</t>
  </si>
  <si>
    <t>078</t>
  </si>
  <si>
    <t>Mise à jour d'une ligne existante dans le registre à travers des opérations</t>
  </si>
  <si>
    <t>079</t>
  </si>
  <si>
    <t>Mise à jour : ajout d'une nouvelle ligne dans le registre à travers des opérations</t>
  </si>
  <si>
    <t>080</t>
  </si>
  <si>
    <t>Validation de Registre</t>
  </si>
  <si>
    <t>Valorisation des avoirs actionnaires</t>
  </si>
  <si>
    <t>E018</t>
  </si>
  <si>
    <t>081</t>
  </si>
  <si>
    <t>Valoriser les avoirs d'un actionnaires détants en pur et administré ( Action)</t>
  </si>
  <si>
    <t>082</t>
  </si>
  <si>
    <t>Valoriser les avoirs d'un actionnaires détants en administré ( Obligation)</t>
  </si>
  <si>
    <t>083</t>
  </si>
  <si>
    <t>Valoriser les avoirs d'un actionnaires détants en administré ( OPCVM)</t>
  </si>
  <si>
    <t>Rapport : Relevé Titres Actionnaire</t>
  </si>
  <si>
    <t>E019</t>
  </si>
  <si>
    <t>084</t>
  </si>
  <si>
    <t>Générer un rapport Relevé Titre Actionnaire : ségrégé par dépositaire et actionnaire: 
Parameter = Actionnaire et émetteur
L'actionnaire détient un deux ISIN chez le même émetteur</t>
  </si>
  <si>
    <t>085</t>
  </si>
  <si>
    <t>Générer un rapport Relevé Titre Actionnaire : ségrégé par actionnaire: 
Parameter = Actionnaire et émetteur
L'actionnaire détient un deux ISIN chez le même émetteur</t>
  </si>
  <si>
    <t>Rapport : Journal des Mouvements par actionnaire </t>
  </si>
  <si>
    <t>E020</t>
  </si>
  <si>
    <t>086</t>
  </si>
  <si>
    <t>Générer un rapport  Journal des Mouvements par actionnaire 
Parameter = Actionnaire et ISIN</t>
  </si>
  <si>
    <t>Rapport: Répartition du capital </t>
  </si>
  <si>
    <t>E021</t>
  </si>
  <si>
    <t>087</t>
  </si>
  <si>
    <t>Générer un rapport   Répartition du capital 
Parameters : ISIN , Date</t>
  </si>
  <si>
    <t>Rapport: Journal des Mouvements Emetteur</t>
  </si>
  <si>
    <t>E022</t>
  </si>
  <si>
    <t>088</t>
  </si>
  <si>
    <t>Générer un Rapport: Journal des Mouvements Emetteur
Parameters : ISIN, Date</t>
  </si>
  <si>
    <t>Rapport: Etat des soldes gestion</t>
  </si>
  <si>
    <t>E023</t>
  </si>
  <si>
    <t>089</t>
  </si>
  <si>
    <t>Générer un Rapport: Etat des soldes gestion
Parameters : ISIN, Date</t>
  </si>
  <si>
    <t>Rapport : Regitsre de transfert Actionnaire</t>
  </si>
  <si>
    <t>E024</t>
  </si>
  <si>
    <t>090</t>
  </si>
  <si>
    <t>Générer un Rapport : Regitsre de transfert Actionnaire
Parameters : actionnaire, Date</t>
  </si>
  <si>
    <t>Rapport: Liste des titres détenus par les étrangers et les MRE</t>
  </si>
  <si>
    <t>E025</t>
  </si>
  <si>
    <t>091</t>
  </si>
  <si>
    <t>Générer un Rapport: Liste des titres détenus par les étrangers et les MRE
Parameters : Date</t>
  </si>
  <si>
    <t>Facturation Tenu de Registre</t>
  </si>
  <si>
    <t>E027</t>
  </si>
  <si>
    <t>092</t>
  </si>
  <si>
    <t>Calcul de la commission de tenu de Registre par émetteur : Deux ISIN</t>
  </si>
  <si>
    <t>E028</t>
  </si>
  <si>
    <t>093</t>
  </si>
  <si>
    <t>Génération de la facture par emetteur, comptabilisation CRO</t>
  </si>
  <si>
    <t>E029</t>
  </si>
  <si>
    <t>094</t>
  </si>
  <si>
    <t>Génération de facture ( PDF ) et Ticket comptable ( PDF)</t>
  </si>
  <si>
    <t>Comptabilité Titre</t>
  </si>
  <si>
    <t>E032</t>
  </si>
  <si>
    <t>095</t>
  </si>
  <si>
    <t>Comptabilité titre suite à une émission d'un compte d'émission</t>
  </si>
  <si>
    <t>096</t>
  </si>
  <si>
    <t>Comptabilité titre suite à une Mise à jour d'un compte d'émission</t>
  </si>
  <si>
    <t>097</t>
  </si>
  <si>
    <t>Comptabilité titre suite à une Opération de conversion émise</t>
  </si>
  <si>
    <t>098</t>
  </si>
  <si>
    <t>Comptabilité titre suite à une Opération de conversion reçue</t>
  </si>
  <si>
    <t>099</t>
  </si>
  <si>
    <t>Comptabilité titre suite à une Opération de Transfert émi</t>
  </si>
  <si>
    <t>100</t>
  </si>
  <si>
    <t>Comptabilité titre suite à une Opération de Transfert reçu</t>
  </si>
  <si>
    <t>101</t>
  </si>
  <si>
    <t>Comptabilité titre suite à une Opération d'achat</t>
  </si>
  <si>
    <t>102</t>
  </si>
  <si>
    <t>Comptabilité titre suite à une Opération de vente</t>
  </si>
  <si>
    <t>103</t>
  </si>
  <si>
    <t>Comptabilité titre suite à une Opération de souscription</t>
  </si>
  <si>
    <t>104</t>
  </si>
  <si>
    <t>Comptabilité titre suite à une Opération de rachat</t>
  </si>
  <si>
    <t>105</t>
  </si>
  <si>
    <t>Comptabilité titre suite à une Opération de blocage</t>
  </si>
  <si>
    <t>106</t>
  </si>
  <si>
    <t>Comptabilité titre suite à une Opération de lévée de blocage</t>
  </si>
  <si>
    <t>107</t>
  </si>
  <si>
    <t xml:space="preserve"> Comptabilité titre suite à une Opération de nantissment</t>
  </si>
  <si>
    <t>108</t>
  </si>
  <si>
    <t xml:space="preserve"> Comptabilité titre suite à une Opération de levée de nantissment</t>
  </si>
  <si>
    <t>Centralisation</t>
  </si>
  <si>
    <t>Création manuelle de l'annonce dans MegaIssuer</t>
  </si>
  <si>
    <t>E033</t>
  </si>
  <si>
    <t>109</t>
  </si>
  <si>
    <t>Création manuelle de l'annonce de Paiement des dividendes en espèces</t>
  </si>
  <si>
    <t>110</t>
  </si>
  <si>
    <t>Création manuelle de l'annonce de Paiement des intérêts</t>
  </si>
  <si>
    <t>111</t>
  </si>
  <si>
    <t xml:space="preserve">Création manuelle de l'annonce de Remboursement du principal </t>
  </si>
  <si>
    <t>112</t>
  </si>
  <si>
    <t>Création manuelle de l'annonce de Remboursement d’une fraction du principal (sans sortie de titres)</t>
  </si>
  <si>
    <t>113</t>
  </si>
  <si>
    <t>Création manuelle de l'annonce de Réduction du capital</t>
  </si>
  <si>
    <t>114</t>
  </si>
  <si>
    <t>Création manuelle de l'annonce de Offre publique de Retrait</t>
  </si>
  <si>
    <t>115</t>
  </si>
  <si>
    <t>Création manuelle de l'annonce de Changement de dénomination</t>
  </si>
  <si>
    <t>116</t>
  </si>
  <si>
    <t>Création manuelle de l'annonce de Fusion absorption sans rompus</t>
  </si>
  <si>
    <t>117</t>
  </si>
  <si>
    <t>Création manuelle de l'annonce de Attribution de titres Sans Rompus</t>
  </si>
  <si>
    <t>118</t>
  </si>
  <si>
    <t>Création manuelle de l'annonce de Assimilation</t>
  </si>
  <si>
    <t>119</t>
  </si>
  <si>
    <t>Création manuelle de l'annonce de Echanges de Titres: Stock Split</t>
  </si>
  <si>
    <t>120</t>
  </si>
  <si>
    <t>Création manuelle de l'annonce de Paiement des dividendes en action/ convertible en actions (nv ISIN)</t>
  </si>
  <si>
    <t>121</t>
  </si>
  <si>
    <t>Création manuelle de l'annonce deFusion absorption avec rompus</t>
  </si>
  <si>
    <t>122</t>
  </si>
  <si>
    <t>Création manuelle de l'annonce de Attribution de titres : Avec Rompus</t>
  </si>
  <si>
    <t>123</t>
  </si>
  <si>
    <t>Création manuelle de l'annonce de Offre public d'achat</t>
  </si>
  <si>
    <t>124</t>
  </si>
  <si>
    <t xml:space="preserve">Création manuelle de l'annonce de Augmentation de Capital à titre irréductible et réductible </t>
  </si>
  <si>
    <t>Mise à jour des annonces</t>
  </si>
  <si>
    <t>E035/E036</t>
  </si>
  <si>
    <t>125</t>
  </si>
  <si>
    <t>Mise à jour manuelle dans MegaIssuer d'annonce: Donnée Centralisateur , ou donnée annonce.</t>
  </si>
  <si>
    <t>Interfaçage entre Megacor et MegaIssuer</t>
  </si>
  <si>
    <t>E033-E036</t>
  </si>
  <si>
    <t>126</t>
  </si>
  <si>
    <t xml:space="preserve">Création </t>
  </si>
  <si>
    <t>127</t>
  </si>
  <si>
    <t>Mise à jour</t>
  </si>
  <si>
    <t xml:space="preserve">cycle de vie </t>
  </si>
  <si>
    <t>128</t>
  </si>
  <si>
    <t>Cycle de vie d'une annonce de type revenu ( OST d'affice) : Ex DVCA, INTR</t>
  </si>
  <si>
    <t>Tests d'intégration</t>
  </si>
  <si>
    <t>129</t>
  </si>
  <si>
    <t>Cycle de vie d'une annonce de type capital ( OST d'office): ex : BONU, REDM</t>
  </si>
  <si>
    <t>130</t>
  </si>
  <si>
    <t>Cycle de vie d'une annonce de type capital ( OST avec choix) : RHTS; DVOP</t>
  </si>
  <si>
    <t>Envoyer les lettres d’initialisation</t>
  </si>
  <si>
    <t>E034</t>
  </si>
  <si>
    <t>131</t>
  </si>
  <si>
    <t>Rapport pour Bourse de Casablanca et Rapport pour Maroclear : ex: DVCA et RHTS</t>
  </si>
  <si>
    <t>DVCA: Validation d'agence</t>
  </si>
  <si>
    <t>E039</t>
  </si>
  <si>
    <t>132</t>
  </si>
  <si>
    <t>Validation d'agence</t>
  </si>
  <si>
    <t>DVCA: Paiement espèce Emetteur : Entrant</t>
  </si>
  <si>
    <t>E037</t>
  </si>
  <si>
    <t>133</t>
  </si>
  <si>
    <t>Simulation de paiement espèce émetteur pour un cas de DVCA, INTR</t>
  </si>
  <si>
    <t>DVCA: Paiement titre Dépositaire : Entrant 
exercice des RCQ</t>
  </si>
  <si>
    <t>E040-E042</t>
  </si>
  <si>
    <t>134</t>
  </si>
  <si>
    <t>Réception des RCQ : + eurs RCQ par dépositaire</t>
  </si>
  <si>
    <t>135</t>
  </si>
  <si>
    <t xml:space="preserve">Mise à jour des exercices dépositaires(résultants des RCQ’s) : Mise à jour + validation 4 eyes +Attacher les documents reçus des dépositaires + </t>
  </si>
  <si>
    <t>INTR: Paiement titre Dépositaire : Entrant 
exercice des RCQ</t>
  </si>
  <si>
    <t>136</t>
  </si>
  <si>
    <t>INTR: Ségrégation avoir propre / clientelle</t>
  </si>
  <si>
    <t>137</t>
  </si>
  <si>
    <t>INTR: Ségrégation avoir Clt physique / moral</t>
  </si>
  <si>
    <t>138</t>
  </si>
  <si>
    <t>Ajouter un exercice dépositaire par simulation d''un RCQ</t>
  </si>
  <si>
    <t>DVCA: Paiement espèce Dépositaire : Sortant</t>
  </si>
  <si>
    <t>E043</t>
  </si>
  <si>
    <t>139</t>
  </si>
  <si>
    <t>Calcul basée sur la somme des qty des RCQ reçus par dépositaire</t>
  </si>
  <si>
    <t>RHTS: Notification envoyée aux dépositaires</t>
  </si>
  <si>
    <t>E038</t>
  </si>
  <si>
    <t>140</t>
  </si>
  <si>
    <t>envoyer un email de notification avec Etat de souscription vide : Cas de RHTS et cas de DVOP</t>
  </si>
  <si>
    <t>RHTS: Paiement titre Dépositaire : Entrant 
exercice des RCQ</t>
  </si>
  <si>
    <t>141</t>
  </si>
  <si>
    <t>142</t>
  </si>
  <si>
    <t>143</t>
  </si>
  <si>
    <t>RHTS: états de souscriptions</t>
  </si>
  <si>
    <t>E044</t>
  </si>
  <si>
    <t>144</t>
  </si>
  <si>
    <r>
      <rPr>
        <b/>
        <i/>
        <sz val="10"/>
        <rFont val="Arial"/>
        <family val="2"/>
      </rPr>
      <t>Annule et remplace:</t>
    </r>
    <r>
      <rPr>
        <sz val="10"/>
        <rFont val="Arial"/>
        <family val="2"/>
      </rPr>
      <t xml:space="preserve">
charger un état de souscription ==&gt; création des souscription par dépositaire
Re-charger le même état de souscription : annule et remplace</t>
    </r>
  </si>
  <si>
    <t>E045</t>
  </si>
  <si>
    <t>145</t>
  </si>
  <si>
    <t>Modification manuelle des souscriptions: mise à jour + valiudation 4 eyes</t>
  </si>
  <si>
    <t>E055</t>
  </si>
  <si>
    <t>146</t>
  </si>
  <si>
    <t>Rapprochement : Montants de souscription - Quantité de souscription</t>
  </si>
  <si>
    <t>E057</t>
  </si>
  <si>
    <t>147</t>
  </si>
  <si>
    <t>Rapprochement : Quantité de souscription - Quantité des RCQ</t>
  </si>
  <si>
    <t>RHTS:  Paiement espèce Dépositaire : Entant</t>
  </si>
  <si>
    <t>148</t>
  </si>
  <si>
    <t>création manuelle ( simulation des versements espèce)</t>
  </si>
  <si>
    <t>E056</t>
  </si>
  <si>
    <t>149</t>
  </si>
  <si>
    <t>Rapprochement: Montants de souscription- Versement dépositaires</t>
  </si>
  <si>
    <t>RHTS: Paiement espèce Emetteur : sortant</t>
  </si>
  <si>
    <t>E046</t>
  </si>
  <si>
    <t>150</t>
  </si>
  <si>
    <t>consolidation des montant des souscriptions et envoi de l'attestation de blocage</t>
  </si>
  <si>
    <t>RHTS: Notification envoyée à l'émetteur</t>
  </si>
  <si>
    <t>E047</t>
  </si>
  <si>
    <t>151</t>
  </si>
  <si>
    <t>Génération des souscriptions vers l’émetteur</t>
  </si>
  <si>
    <t>RHTS: Ratification de l'annonce</t>
  </si>
  <si>
    <t>E048</t>
  </si>
  <si>
    <t>152</t>
  </si>
  <si>
    <t>Ratification de l'annonce</t>
  </si>
  <si>
    <t>E049, E051</t>
  </si>
  <si>
    <t>153</t>
  </si>
  <si>
    <t>Attribution des souscriptions à titre réductible: charger les excel de souscriptions
Calcul des montants à restituer est automatique</t>
  </si>
  <si>
    <t>E050</t>
  </si>
  <si>
    <t>154</t>
  </si>
  <si>
    <t>Génération des attributions vers les dépositaires</t>
  </si>
  <si>
    <t xml:space="preserve">RHTS: Paiement titre Dépositaire : Sortant 
</t>
  </si>
  <si>
    <t>E052</t>
  </si>
  <si>
    <t>155</t>
  </si>
  <si>
    <t>Distribution du Titre vers les dépositaires : des transferts</t>
  </si>
  <si>
    <t>Toute annonce</t>
  </si>
  <si>
    <t>E054</t>
  </si>
  <si>
    <t>156</t>
  </si>
  <si>
    <t>Clôturer une annonce</t>
  </si>
  <si>
    <t>E058</t>
  </si>
  <si>
    <t>157</t>
  </si>
  <si>
    <t>Rapprochement : Quantité des RCQ- quantité RSM</t>
  </si>
  <si>
    <t>Rapport de centralisation</t>
  </si>
  <si>
    <t>E059</t>
  </si>
  <si>
    <t>158</t>
  </si>
  <si>
    <t>Génération du rapport : état fiscal</t>
  </si>
  <si>
    <t>E060</t>
  </si>
  <si>
    <t>159</t>
  </si>
  <si>
    <t>Génération du rapport : 2 lettres d’initialisation Maroclear &amp; bourse de Casablanca</t>
  </si>
  <si>
    <t>E061</t>
  </si>
  <si>
    <t>160</t>
  </si>
  <si>
    <t xml:space="preserve">Génération du rapport: Attestation de blocage
</t>
  </si>
  <si>
    <t>E062</t>
  </si>
  <si>
    <t>161</t>
  </si>
  <si>
    <t xml:space="preserve">Email envoyé aux dépositaires </t>
  </si>
  <si>
    <t>E063</t>
  </si>
  <si>
    <t>162</t>
  </si>
  <si>
    <t>Etat de souscriptions : Aug de capital</t>
  </si>
  <si>
    <t>E064</t>
  </si>
  <si>
    <t>163</t>
  </si>
  <si>
    <t>Etat de souscriptions :Autres Annonces</t>
  </si>
  <si>
    <t>Annonce Complète</t>
  </si>
  <si>
    <t>all</t>
  </si>
  <si>
    <t>164</t>
  </si>
  <si>
    <t>Test l'annonce de Paiement des dividendes en espèces</t>
  </si>
  <si>
    <t>165</t>
  </si>
  <si>
    <t>Test l'annonce de Paiement des intérêts</t>
  </si>
  <si>
    <t>166</t>
  </si>
  <si>
    <t xml:space="preserve">Test l'annonce de Remboursement du principal </t>
  </si>
  <si>
    <t>167</t>
  </si>
  <si>
    <t>Test l'annonce de Remboursement d’une fraction du principal (sans sortie de titres)</t>
  </si>
  <si>
    <t>168</t>
  </si>
  <si>
    <t>Test l'annonce de Réduction du capital</t>
  </si>
  <si>
    <t>169</t>
  </si>
  <si>
    <t>Test l'annonce de Offre publique de Retrait</t>
  </si>
  <si>
    <t>170</t>
  </si>
  <si>
    <t>Test l'annonce de Changement de dénomination</t>
  </si>
  <si>
    <t>171</t>
  </si>
  <si>
    <t>Test l'annonce de Fusion absorption sans rompus</t>
  </si>
  <si>
    <t>172</t>
  </si>
  <si>
    <t>Test l'annonce de Attribution de titres Sans Rompus</t>
  </si>
  <si>
    <t>173</t>
  </si>
  <si>
    <t>Test l'annonce de Assimilation</t>
  </si>
  <si>
    <t>174</t>
  </si>
  <si>
    <t>Test l'annonce de Echanges de Titres: Stock Split</t>
  </si>
  <si>
    <t>175</t>
  </si>
  <si>
    <t>Test l'annonce de Paiement des dividendes en action/ convertible en actions (nv ISIN)</t>
  </si>
  <si>
    <t>176</t>
  </si>
  <si>
    <t>Test l'annonce de Fusion absorption avec rompus</t>
  </si>
  <si>
    <t>177</t>
  </si>
  <si>
    <t>Test l'annonce de Attribution de titres : Avec Rompus</t>
  </si>
  <si>
    <t>178</t>
  </si>
  <si>
    <t>Test l'annonce de Offre public d'achat</t>
  </si>
  <si>
    <t>179</t>
  </si>
  <si>
    <t xml:space="preserve">Test l'annonce de Augmentation de Capital à titre irréductible et réductible </t>
  </si>
  <si>
    <t>Ne rien inscrire sous cette Ligne (utiliser les bouttons "+"  et "-")</t>
  </si>
  <si>
    <t>Fusion absorption avec rompus</t>
  </si>
  <si>
    <t>Cahier de tests</t>
  </si>
  <si>
    <t>Statistiques</t>
  </si>
  <si>
    <t>Ci-dessous les statistiques issues de l'exécution des tests :</t>
  </si>
  <si>
    <t>Tests unitaire</t>
  </si>
  <si>
    <t>Le nombre de cas de tests prévus</t>
  </si>
  <si>
    <t>Le nombre de cas de tests exécutés</t>
  </si>
  <si>
    <t>Le nombre de cas de tests réussis</t>
  </si>
  <si>
    <t>Le nombre de cas de tests échoués</t>
  </si>
  <si>
    <t xml:space="preserve">Pourcentage des cas de tests Exécutés/Prévus </t>
  </si>
  <si>
    <t>Qualification technique</t>
  </si>
  <si>
    <t>Tests de non régression</t>
  </si>
  <si>
    <t>Qualification de sécurité</t>
  </si>
  <si>
    <t>Tests de performances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</si>
</sst>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22"/>
      <name val="Arial"/>
      <family val="2"/>
    </font>
    <font>
      <sz val="10"/>
      <name val="Arial"/>
      <family val="2"/>
    </font>
    <font>
      <sz val="10"/>
      <color rgb="FFFFC000"/>
      <name val="Arial"/>
      <family val="2"/>
    </font>
    <font>
      <b/>
      <sz val="10"/>
      <color rgb="FFFFC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sz val="16"/>
      <color indexed="9"/>
      <name val="Arial Narrow"/>
      <family val="2"/>
    </font>
    <font>
      <sz val="9"/>
      <name val="Calibri"/>
      <family val="2"/>
    </font>
    <font>
      <b/>
      <sz val="16"/>
      <color indexed="16"/>
      <name val="Calibri"/>
      <family val="2"/>
    </font>
    <font>
      <b/>
      <sz val="11"/>
      <color indexed="8"/>
      <name val="Calibri"/>
      <family val="2"/>
      <scheme val="minor"/>
    </font>
    <font>
      <sz val="9"/>
      <name val="Arial"/>
      <family val="2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0"/>
      <color theme="1" tint="0.249977111117893"/>
      <name val="Calibri"/>
      <family val="2"/>
    </font>
    <font>
      <sz val="11"/>
      <color theme="1" tint="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</font>
    <font>
      <b/>
      <i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5770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23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indexed="9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indexed="9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8"/>
      </left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23"/>
      </left>
      <right/>
      <top style="thin">
        <color indexed="23"/>
      </top>
      <bottom style="thin">
        <color indexed="9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9"/>
      </top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38">
    <xf numFmtId="0" fontId="0" fillId="0" borderId="0"/>
    <xf numFmtId="0" fontId="7" fillId="0" borderId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3" fillId="10" borderId="0" applyNumberFormat="0" applyBorder="0" applyAlignment="0" applyProtection="0"/>
    <xf numFmtId="0" fontId="14" fillId="23" borderId="19" applyNumberFormat="0" applyAlignment="0" applyProtection="0"/>
    <xf numFmtId="0" fontId="15" fillId="24" borderId="20" applyNumberFormat="0" applyAlignment="0" applyProtection="0"/>
    <xf numFmtId="0" fontId="16" fillId="0" borderId="0" applyNumberFormat="0" applyFill="0" applyBorder="0" applyAlignment="0" applyProtection="0"/>
    <xf numFmtId="0" fontId="17" fillId="11" borderId="0" applyNumberFormat="0" applyBorder="0" applyAlignment="0" applyProtection="0"/>
    <xf numFmtId="0" fontId="18" fillId="0" borderId="21" applyNumberFormat="0" applyFill="0" applyAlignment="0" applyProtection="0"/>
    <xf numFmtId="0" fontId="19" fillId="0" borderId="22" applyNumberFormat="0" applyFill="0" applyAlignment="0" applyProtection="0"/>
    <xf numFmtId="0" fontId="20" fillId="0" borderId="23" applyNumberFormat="0" applyFill="0" applyAlignment="0" applyProtection="0"/>
    <xf numFmtId="0" fontId="20" fillId="0" borderId="0" applyNumberFormat="0" applyFill="0" applyBorder="0" applyAlignment="0" applyProtection="0"/>
    <xf numFmtId="0" fontId="21" fillId="14" borderId="19" applyNumberFormat="0" applyAlignment="0" applyProtection="0"/>
    <xf numFmtId="0" fontId="22" fillId="0" borderId="24" applyNumberFormat="0" applyFill="0" applyAlignment="0" applyProtection="0"/>
    <xf numFmtId="0" fontId="23" fillId="25" borderId="0" applyNumberFormat="0" applyBorder="0" applyAlignment="0" applyProtection="0"/>
    <xf numFmtId="0" fontId="7" fillId="26" borderId="25" applyNumberFormat="0" applyFont="0" applyAlignment="0" applyProtection="0"/>
    <xf numFmtId="0" fontId="24" fillId="23" borderId="26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1" fillId="0" borderId="0"/>
  </cellStyleXfs>
  <cellXfs count="194">
    <xf numFmtId="0" fontId="0" fillId="0" borderId="0" xfId="0"/>
    <xf numFmtId="0" fontId="2" fillId="0" borderId="0" xfId="36"/>
    <xf numFmtId="0" fontId="2" fillId="8" borderId="0" xfId="36" applyFill="1"/>
    <xf numFmtId="0" fontId="2" fillId="0" borderId="27" xfId="36" applyBorder="1"/>
    <xf numFmtId="0" fontId="2" fillId="8" borderId="27" xfId="36" applyFill="1" applyBorder="1"/>
    <xf numFmtId="0" fontId="2" fillId="0" borderId="32" xfId="36" applyBorder="1"/>
    <xf numFmtId="0" fontId="30" fillId="0" borderId="41" xfId="36" applyFont="1" applyBorder="1" applyAlignment="1">
      <alignment vertical="center" wrapText="1"/>
    </xf>
    <xf numFmtId="0" fontId="2" fillId="7" borderId="0" xfId="36" applyFill="1"/>
    <xf numFmtId="0" fontId="30" fillId="0" borderId="46" xfId="36" applyFont="1" applyBorder="1" applyAlignment="1">
      <alignment vertical="center" wrapText="1"/>
    </xf>
    <xf numFmtId="0" fontId="3" fillId="7" borderId="0" xfId="36" applyFont="1" applyFill="1" applyAlignment="1">
      <alignment horizontal="right" vertical="top"/>
    </xf>
    <xf numFmtId="0" fontId="2" fillId="7" borderId="0" xfId="36" applyFill="1" applyAlignment="1">
      <alignment vertical="top"/>
    </xf>
    <xf numFmtId="0" fontId="3" fillId="8" borderId="0" xfId="36" applyFont="1" applyFill="1" applyAlignment="1">
      <alignment horizontal="right" vertical="top"/>
    </xf>
    <xf numFmtId="0" fontId="2" fillId="8" borderId="0" xfId="36" applyFill="1" applyAlignment="1">
      <alignment vertical="top"/>
    </xf>
    <xf numFmtId="0" fontId="29" fillId="8" borderId="18" xfId="36" applyFont="1" applyFill="1" applyBorder="1"/>
    <xf numFmtId="0" fontId="28" fillId="8" borderId="31" xfId="36" applyFont="1" applyFill="1" applyBorder="1" applyAlignment="1">
      <alignment horizontal="left" vertical="center"/>
    </xf>
    <xf numFmtId="0" fontId="4" fillId="8" borderId="0" xfId="36" applyFont="1" applyFill="1" applyAlignment="1">
      <alignment vertical="top"/>
    </xf>
    <xf numFmtId="0" fontId="4" fillId="7" borderId="0" xfId="36" applyFont="1" applyFill="1" applyAlignment="1">
      <alignment horizontal="left" vertical="top"/>
    </xf>
    <xf numFmtId="0" fontId="11" fillId="8" borderId="0" xfId="36" applyFont="1" applyFill="1"/>
    <xf numFmtId="0" fontId="11" fillId="7" borderId="0" xfId="36" applyFont="1" applyFill="1"/>
    <xf numFmtId="0" fontId="2" fillId="8" borderId="51" xfId="36" applyFill="1" applyBorder="1" applyAlignment="1">
      <alignment vertical="top"/>
    </xf>
    <xf numFmtId="0" fontId="2" fillId="8" borderId="52" xfId="36" applyFill="1" applyBorder="1"/>
    <xf numFmtId="0" fontId="3" fillId="8" borderId="51" xfId="36" applyFont="1" applyFill="1" applyBorder="1" applyAlignment="1">
      <alignment horizontal="right" vertical="top"/>
    </xf>
    <xf numFmtId="0" fontId="7" fillId="8" borderId="51" xfId="36" applyFont="1" applyFill="1" applyBorder="1" applyAlignment="1">
      <alignment horizontal="left" vertical="top" indent="1"/>
    </xf>
    <xf numFmtId="0" fontId="7" fillId="8" borderId="53" xfId="36" applyFont="1" applyFill="1" applyBorder="1" applyAlignment="1">
      <alignment horizontal="left" vertical="top" indent="1"/>
    </xf>
    <xf numFmtId="0" fontId="2" fillId="8" borderId="38" xfId="36" applyFill="1" applyBorder="1"/>
    <xf numFmtId="0" fontId="2" fillId="8" borderId="54" xfId="36" applyFill="1" applyBorder="1"/>
    <xf numFmtId="0" fontId="7" fillId="7" borderId="0" xfId="36" applyFont="1" applyFill="1" applyAlignment="1">
      <alignment horizontal="left" vertical="top" indent="1"/>
    </xf>
    <xf numFmtId="0" fontId="33" fillId="27" borderId="6" xfId="0" applyFont="1" applyFill="1" applyBorder="1"/>
    <xf numFmtId="0" fontId="7" fillId="8" borderId="0" xfId="36" applyFont="1" applyFill="1" applyAlignment="1">
      <alignment horizontal="left" vertical="top" indent="1"/>
    </xf>
    <xf numFmtId="0" fontId="2" fillId="8" borderId="48" xfId="36" applyFill="1" applyBorder="1" applyAlignment="1">
      <alignment vertical="top"/>
    </xf>
    <xf numFmtId="0" fontId="2" fillId="8" borderId="49" xfId="36" applyFill="1" applyBorder="1"/>
    <xf numFmtId="0" fontId="2" fillId="8" borderId="50" xfId="36" applyFill="1" applyBorder="1"/>
    <xf numFmtId="0" fontId="7" fillId="0" borderId="1" xfId="1" applyBorder="1"/>
    <xf numFmtId="0" fontId="7" fillId="0" borderId="0" xfId="1"/>
    <xf numFmtId="0" fontId="3" fillId="3" borderId="1" xfId="1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vertical="center" wrapText="1"/>
    </xf>
    <xf numFmtId="0" fontId="7" fillId="0" borderId="0" xfId="1" applyAlignment="1">
      <alignment horizontal="center"/>
    </xf>
    <xf numFmtId="0" fontId="7" fillId="2" borderId="3" xfId="1" applyFill="1" applyBorder="1" applyAlignment="1">
      <alignment vertical="top" wrapText="1"/>
    </xf>
    <xf numFmtId="0" fontId="7" fillId="2" borderId="1" xfId="1" applyFill="1" applyBorder="1" applyAlignment="1">
      <alignment vertical="top" wrapText="1"/>
    </xf>
    <xf numFmtId="0" fontId="4" fillId="2" borderId="3" xfId="1" applyFont="1" applyFill="1" applyBorder="1" applyAlignment="1">
      <alignment vertical="center" wrapText="1"/>
    </xf>
    <xf numFmtId="0" fontId="7" fillId="0" borderId="2" xfId="1" applyBorder="1"/>
    <xf numFmtId="0" fontId="3" fillId="0" borderId="3" xfId="1" applyFont="1" applyBorder="1" applyAlignment="1">
      <alignment horizontal="center" vertical="center" wrapText="1"/>
    </xf>
    <xf numFmtId="0" fontId="7" fillId="0" borderId="1" xfId="1" applyBorder="1" applyAlignment="1">
      <alignment vertical="top" wrapText="1"/>
    </xf>
    <xf numFmtId="0" fontId="7" fillId="0" borderId="3" xfId="1" applyBorder="1" applyAlignment="1">
      <alignment vertical="top" wrapText="1"/>
    </xf>
    <xf numFmtId="0" fontId="7" fillId="0" borderId="1" xfId="1" applyBorder="1" applyAlignment="1">
      <alignment vertical="center" wrapText="1"/>
    </xf>
    <xf numFmtId="0" fontId="8" fillId="4" borderId="0" xfId="1" applyFont="1" applyFill="1"/>
    <xf numFmtId="0" fontId="3" fillId="4" borderId="0" xfId="1" applyFont="1" applyFill="1"/>
    <xf numFmtId="0" fontId="8" fillId="4" borderId="0" xfId="1" applyFont="1" applyFill="1" applyAlignment="1">
      <alignment horizontal="center" vertical="center"/>
    </xf>
    <xf numFmtId="0" fontId="9" fillId="4" borderId="0" xfId="1" applyFont="1" applyFill="1" applyAlignment="1">
      <alignment horizontal="center"/>
    </xf>
    <xf numFmtId="0" fontId="7" fillId="0" borderId="0" xfId="1" applyAlignment="1">
      <alignment horizontal="center" vertical="center"/>
    </xf>
    <xf numFmtId="0" fontId="3" fillId="0" borderId="0" xfId="1" applyFont="1" applyAlignment="1">
      <alignment horizontal="center"/>
    </xf>
    <xf numFmtId="0" fontId="5" fillId="0" borderId="0" xfId="1" applyFont="1"/>
    <xf numFmtId="0" fontId="7" fillId="0" borderId="0" xfId="0" applyFont="1"/>
    <xf numFmtId="0" fontId="0" fillId="0" borderId="6" xfId="0" applyBorder="1"/>
    <xf numFmtId="10" fontId="0" fillId="0" borderId="6" xfId="0" applyNumberFormat="1" applyBorder="1"/>
    <xf numFmtId="0" fontId="7" fillId="28" borderId="6" xfId="0" applyFont="1" applyFill="1" applyBorder="1"/>
    <xf numFmtId="0" fontId="7" fillId="29" borderId="6" xfId="0" applyFont="1" applyFill="1" applyBorder="1"/>
    <xf numFmtId="0" fontId="7" fillId="6" borderId="6" xfId="0" applyFont="1" applyFill="1" applyBorder="1"/>
    <xf numFmtId="0" fontId="7" fillId="30" borderId="6" xfId="0" applyFont="1" applyFill="1" applyBorder="1"/>
    <xf numFmtId="0" fontId="3" fillId="28" borderId="0" xfId="0" applyFont="1" applyFill="1"/>
    <xf numFmtId="0" fontId="3" fillId="29" borderId="0" xfId="0" applyFont="1" applyFill="1"/>
    <xf numFmtId="0" fontId="3" fillId="6" borderId="0" xfId="0" applyFont="1" applyFill="1"/>
    <xf numFmtId="0" fontId="3" fillId="30" borderId="0" xfId="0" applyFont="1" applyFill="1"/>
    <xf numFmtId="0" fontId="1" fillId="0" borderId="0" xfId="37"/>
    <xf numFmtId="0" fontId="1" fillId="31" borderId="0" xfId="37" applyFill="1"/>
    <xf numFmtId="0" fontId="1" fillId="3" borderId="0" xfId="37" applyFill="1"/>
    <xf numFmtId="0" fontId="29" fillId="34" borderId="0" xfId="37" applyFont="1" applyFill="1" applyAlignment="1">
      <alignment horizontal="center" vertical="center"/>
    </xf>
    <xf numFmtId="0" fontId="29" fillId="34" borderId="0" xfId="37" applyFont="1" applyFill="1" applyAlignment="1">
      <alignment vertical="top"/>
    </xf>
    <xf numFmtId="0" fontId="1" fillId="8" borderId="0" xfId="37" applyFill="1"/>
    <xf numFmtId="0" fontId="1" fillId="8" borderId="32" xfId="37" applyFill="1" applyBorder="1"/>
    <xf numFmtId="0" fontId="1" fillId="0" borderId="17" xfId="37" applyBorder="1"/>
    <xf numFmtId="0" fontId="1" fillId="0" borderId="17" xfId="37" applyBorder="1" applyAlignment="1">
      <alignment horizontal="center"/>
    </xf>
    <xf numFmtId="0" fontId="1" fillId="0" borderId="32" xfId="37" applyBorder="1"/>
    <xf numFmtId="0" fontId="1" fillId="8" borderId="27" xfId="37" applyFill="1" applyBorder="1"/>
    <xf numFmtId="0" fontId="29" fillId="8" borderId="0" xfId="37" applyFont="1" applyFill="1"/>
    <xf numFmtId="0" fontId="1" fillId="8" borderId="0" xfId="37" applyFill="1" applyAlignment="1">
      <alignment horizontal="center"/>
    </xf>
    <xf numFmtId="0" fontId="29" fillId="0" borderId="18" xfId="37" applyFont="1" applyBorder="1"/>
    <xf numFmtId="0" fontId="28" fillId="0" borderId="31" xfId="37" applyFont="1" applyBorder="1" applyAlignment="1">
      <alignment horizontal="left" vertical="center"/>
    </xf>
    <xf numFmtId="0" fontId="1" fillId="0" borderId="27" xfId="37" applyBorder="1"/>
    <xf numFmtId="0" fontId="29" fillId="0" borderId="34" xfId="37" applyFont="1" applyBorder="1"/>
    <xf numFmtId="0" fontId="28" fillId="0" borderId="33" xfId="37" applyFont="1" applyBorder="1" applyAlignment="1">
      <alignment horizontal="left" vertical="center"/>
    </xf>
    <xf numFmtId="0" fontId="29" fillId="0" borderId="31" xfId="37" applyFont="1" applyBorder="1"/>
    <xf numFmtId="0" fontId="1" fillId="0" borderId="30" xfId="37" applyBorder="1"/>
    <xf numFmtId="0" fontId="27" fillId="34" borderId="6" xfId="37" applyFont="1" applyFill="1" applyBorder="1" applyAlignment="1">
      <alignment vertical="top" wrapText="1"/>
    </xf>
    <xf numFmtId="14" fontId="43" fillId="0" borderId="29" xfId="1" applyNumberFormat="1" applyFont="1" applyBorder="1" applyAlignment="1">
      <alignment horizontal="left" vertical="center" wrapText="1"/>
    </xf>
    <xf numFmtId="0" fontId="43" fillId="0" borderId="29" xfId="1" applyFont="1" applyBorder="1" applyAlignment="1">
      <alignment vertical="center" wrapText="1"/>
    </xf>
    <xf numFmtId="0" fontId="43" fillId="0" borderId="28" xfId="1" applyFont="1" applyBorder="1" applyAlignment="1">
      <alignment vertical="center" wrapText="1"/>
    </xf>
    <xf numFmtId="0" fontId="44" fillId="0" borderId="6" xfId="37" applyFont="1" applyBorder="1" applyAlignment="1">
      <alignment vertical="top" wrapText="1"/>
    </xf>
    <xf numFmtId="0" fontId="28" fillId="8" borderId="0" xfId="37" applyFont="1" applyFill="1" applyAlignment="1">
      <alignment horizontal="left" vertical="center"/>
    </xf>
    <xf numFmtId="0" fontId="27" fillId="8" borderId="0" xfId="37" applyFont="1" applyFill="1" applyAlignment="1">
      <alignment vertical="top" wrapText="1"/>
    </xf>
    <xf numFmtId="0" fontId="1" fillId="0" borderId="0" xfId="37" applyAlignment="1">
      <alignment horizontal="center"/>
    </xf>
    <xf numFmtId="0" fontId="29" fillId="0" borderId="33" xfId="37" applyFont="1" applyBorder="1"/>
    <xf numFmtId="0" fontId="10" fillId="0" borderId="6" xfId="37" applyFont="1" applyBorder="1" applyAlignment="1">
      <alignment vertical="top" wrapText="1"/>
    </xf>
    <xf numFmtId="0" fontId="10" fillId="0" borderId="6" xfId="37" applyFont="1" applyBorder="1" applyAlignment="1">
      <alignment horizontal="center" vertical="top" wrapText="1"/>
    </xf>
    <xf numFmtId="0" fontId="10" fillId="8" borderId="0" xfId="37" applyFont="1" applyFill="1" applyAlignment="1">
      <alignment vertical="top" wrapText="1"/>
    </xf>
    <xf numFmtId="0" fontId="28" fillId="0" borderId="40" xfId="37" applyFont="1" applyBorder="1" applyAlignment="1">
      <alignment horizontal="left" vertical="center"/>
    </xf>
    <xf numFmtId="0" fontId="27" fillId="0" borderId="6" xfId="37" applyFont="1" applyBorder="1" applyAlignment="1">
      <alignment vertical="top" wrapText="1"/>
    </xf>
    <xf numFmtId="14" fontId="29" fillId="34" borderId="0" xfId="37" applyNumberFormat="1" applyFont="1" applyFill="1" applyAlignment="1">
      <alignment vertical="top"/>
    </xf>
    <xf numFmtId="0" fontId="34" fillId="0" borderId="6" xfId="0" applyFont="1" applyBorder="1" applyAlignment="1">
      <alignment horizontal="left" vertical="top"/>
    </xf>
    <xf numFmtId="0" fontId="34" fillId="0" borderId="6" xfId="0" applyFont="1" applyBorder="1" applyAlignment="1">
      <alignment horizontal="left" vertical="top" wrapText="1"/>
    </xf>
    <xf numFmtId="0" fontId="34" fillId="0" borderId="55" xfId="0" applyFont="1" applyBorder="1" applyAlignment="1">
      <alignment horizontal="left" vertical="top"/>
    </xf>
    <xf numFmtId="0" fontId="7" fillId="0" borderId="1" xfId="1" quotePrefix="1" applyBorder="1" applyAlignment="1">
      <alignment vertical="top" wrapText="1"/>
    </xf>
    <xf numFmtId="0" fontId="3" fillId="0" borderId="3" xfId="1" applyFont="1" applyBorder="1" applyAlignment="1">
      <alignment horizontal="left" vertical="center" wrapText="1"/>
    </xf>
    <xf numFmtId="0" fontId="0" fillId="0" borderId="6" xfId="0" applyBorder="1" applyAlignment="1">
      <alignment vertical="top" wrapText="1"/>
    </xf>
    <xf numFmtId="0" fontId="7" fillId="0" borderId="0" xfId="1" applyAlignment="1">
      <alignment vertical="top" wrapText="1"/>
    </xf>
    <xf numFmtId="0" fontId="36" fillId="31" borderId="0" xfId="37" applyFont="1" applyFill="1" applyAlignment="1">
      <alignment horizontal="center" vertical="center"/>
    </xf>
    <xf numFmtId="0" fontId="46" fillId="32" borderId="0" xfId="37" applyFont="1" applyFill="1" applyAlignment="1">
      <alignment horizontal="center" vertical="center"/>
    </xf>
    <xf numFmtId="0" fontId="37" fillId="32" borderId="0" xfId="37" applyFont="1" applyFill="1" applyAlignment="1">
      <alignment horizontal="center" vertical="center"/>
    </xf>
    <xf numFmtId="0" fontId="1" fillId="3" borderId="0" xfId="37" applyFill="1" applyAlignment="1">
      <alignment horizontal="center"/>
    </xf>
    <xf numFmtId="0" fontId="38" fillId="33" borderId="0" xfId="37" applyFont="1" applyFill="1" applyAlignment="1">
      <alignment horizontal="left" vertical="center"/>
    </xf>
    <xf numFmtId="0" fontId="29" fillId="34" borderId="0" xfId="37" applyFont="1" applyFill="1" applyAlignment="1">
      <alignment horizontal="left" vertical="top"/>
    </xf>
    <xf numFmtId="0" fontId="39" fillId="3" borderId="0" xfId="37" applyFont="1" applyFill="1" applyAlignment="1">
      <alignment horizontal="center"/>
    </xf>
    <xf numFmtId="0" fontId="29" fillId="34" borderId="0" xfId="37" applyFont="1" applyFill="1" applyAlignment="1">
      <alignment horizontal="left" vertical="center"/>
    </xf>
    <xf numFmtId="0" fontId="40" fillId="34" borderId="57" xfId="37" applyFont="1" applyFill="1" applyBorder="1" applyAlignment="1">
      <alignment horizontal="center" vertical="center"/>
    </xf>
    <xf numFmtId="0" fontId="40" fillId="34" borderId="58" xfId="37" applyFont="1" applyFill="1" applyBorder="1" applyAlignment="1">
      <alignment horizontal="center" vertical="center"/>
    </xf>
    <xf numFmtId="0" fontId="40" fillId="34" borderId="60" xfId="37" applyFont="1" applyFill="1" applyBorder="1" applyAlignment="1">
      <alignment horizontal="center" vertical="center"/>
    </xf>
    <xf numFmtId="0" fontId="40" fillId="34" borderId="61" xfId="37" applyFont="1" applyFill="1" applyBorder="1" applyAlignment="1">
      <alignment horizontal="center" vertical="center"/>
    </xf>
    <xf numFmtId="0" fontId="1" fillId="34" borderId="59" xfId="37" applyFill="1" applyBorder="1" applyAlignment="1">
      <alignment horizontal="center"/>
    </xf>
    <xf numFmtId="0" fontId="1" fillId="34" borderId="62" xfId="37" applyFill="1" applyBorder="1" applyAlignment="1">
      <alignment horizontal="center"/>
    </xf>
    <xf numFmtId="0" fontId="28" fillId="8" borderId="0" xfId="37" applyFont="1" applyFill="1" applyAlignment="1">
      <alignment horizontal="left" vertical="center"/>
    </xf>
    <xf numFmtId="0" fontId="1" fillId="0" borderId="6" xfId="37" applyBorder="1" applyAlignment="1">
      <alignment horizontal="center"/>
    </xf>
    <xf numFmtId="0" fontId="41" fillId="0" borderId="6" xfId="37" applyFont="1" applyBorder="1" applyAlignment="1">
      <alignment horizontal="center" vertical="center" wrapText="1"/>
    </xf>
    <xf numFmtId="0" fontId="42" fillId="0" borderId="6" xfId="37" applyFont="1" applyBorder="1" applyAlignment="1">
      <alignment horizontal="center" vertical="center" wrapText="1"/>
    </xf>
    <xf numFmtId="0" fontId="28" fillId="0" borderId="39" xfId="37" applyFont="1" applyBorder="1" applyAlignment="1">
      <alignment horizontal="left" vertical="center"/>
    </xf>
    <xf numFmtId="0" fontId="28" fillId="0" borderId="38" xfId="37" applyFont="1" applyBorder="1" applyAlignment="1">
      <alignment horizontal="left" vertical="center"/>
    </xf>
    <xf numFmtId="0" fontId="29" fillId="0" borderId="37" xfId="37" applyFont="1" applyBorder="1" applyAlignment="1">
      <alignment horizontal="left" vertical="center" wrapText="1"/>
    </xf>
    <xf numFmtId="0" fontId="29" fillId="0" borderId="36" xfId="37" applyFont="1" applyBorder="1" applyAlignment="1">
      <alignment horizontal="left" vertical="center" wrapText="1"/>
    </xf>
    <xf numFmtId="0" fontId="29" fillId="0" borderId="35" xfId="37" applyFont="1" applyBorder="1" applyAlignment="1">
      <alignment horizontal="left" vertical="center" wrapText="1"/>
    </xf>
    <xf numFmtId="0" fontId="27" fillId="8" borderId="0" xfId="37" applyFont="1" applyFill="1" applyAlignment="1">
      <alignment horizontal="center" vertical="top" wrapText="1"/>
    </xf>
    <xf numFmtId="0" fontId="45" fillId="0" borderId="6" xfId="37" applyFont="1" applyBorder="1" applyAlignment="1">
      <alignment horizontal="center" vertical="center" wrapText="1"/>
    </xf>
    <xf numFmtId="0" fontId="29" fillId="0" borderId="6" xfId="37" applyFont="1" applyBorder="1" applyAlignment="1">
      <alignment horizontal="left" vertical="center" wrapText="1"/>
    </xf>
    <xf numFmtId="0" fontId="27" fillId="0" borderId="6" xfId="37" applyFont="1" applyBorder="1" applyAlignment="1">
      <alignment horizontal="center" vertical="top" wrapText="1"/>
    </xf>
    <xf numFmtId="0" fontId="27" fillId="34" borderId="6" xfId="37" applyFont="1" applyFill="1" applyBorder="1" applyAlignment="1">
      <alignment horizontal="center" vertical="top" wrapText="1"/>
    </xf>
    <xf numFmtId="0" fontId="34" fillId="0" borderId="56" xfId="0" applyFont="1" applyBorder="1" applyAlignment="1">
      <alignment horizontal="left" vertical="top"/>
    </xf>
    <xf numFmtId="0" fontId="35" fillId="0" borderId="49" xfId="0" applyFont="1" applyBorder="1" applyAlignment="1">
      <alignment horizontal="left" vertical="top"/>
    </xf>
    <xf numFmtId="0" fontId="35" fillId="0" borderId="50" xfId="0" applyFont="1" applyBorder="1" applyAlignment="1">
      <alignment horizontal="left" vertical="top"/>
    </xf>
    <xf numFmtId="0" fontId="34" fillId="0" borderId="56" xfId="0" applyFont="1" applyBorder="1" applyAlignment="1">
      <alignment horizontal="left" vertical="top" wrapText="1"/>
    </xf>
    <xf numFmtId="0" fontId="34" fillId="0" borderId="37" xfId="0" applyFont="1" applyBorder="1" applyAlignment="1">
      <alignment horizontal="left" vertical="top" wrapText="1"/>
    </xf>
    <xf numFmtId="0" fontId="35" fillId="0" borderId="36" xfId="0" applyFont="1" applyBorder="1" applyAlignment="1">
      <alignment horizontal="left" vertical="top" wrapText="1"/>
    </xf>
    <xf numFmtId="0" fontId="35" fillId="0" borderId="35" xfId="0" applyFont="1" applyBorder="1" applyAlignment="1">
      <alignment horizontal="left" vertical="top" wrapText="1"/>
    </xf>
    <xf numFmtId="0" fontId="45" fillId="0" borderId="37" xfId="37" applyFont="1" applyBorder="1" applyAlignment="1">
      <alignment horizontal="center" vertical="center" wrapText="1"/>
    </xf>
    <xf numFmtId="0" fontId="45" fillId="0" borderId="36" xfId="37" applyFont="1" applyBorder="1" applyAlignment="1">
      <alignment horizontal="center" vertical="center" wrapText="1"/>
    </xf>
    <xf numFmtId="0" fontId="45" fillId="0" borderId="35" xfId="37" applyFont="1" applyBorder="1" applyAlignment="1">
      <alignment horizontal="center" vertical="center" wrapText="1"/>
    </xf>
    <xf numFmtId="0" fontId="31" fillId="0" borderId="45" xfId="36" applyFont="1" applyBorder="1" applyAlignment="1">
      <alignment horizontal="center" vertical="center" wrapText="1"/>
    </xf>
    <xf numFmtId="0" fontId="31" fillId="0" borderId="47" xfId="36" applyFont="1" applyBorder="1" applyAlignment="1">
      <alignment horizontal="center" vertical="center" wrapText="1"/>
    </xf>
    <xf numFmtId="0" fontId="32" fillId="0" borderId="42" xfId="36" applyFont="1" applyBorder="1" applyAlignment="1">
      <alignment horizontal="center" vertical="center"/>
    </xf>
    <xf numFmtId="0" fontId="32" fillId="0" borderId="43" xfId="36" applyFont="1" applyBorder="1" applyAlignment="1">
      <alignment horizontal="center" vertical="center"/>
    </xf>
    <xf numFmtId="0" fontId="32" fillId="0" borderId="44" xfId="36" applyFont="1" applyBorder="1" applyAlignment="1">
      <alignment horizontal="center" vertical="center"/>
    </xf>
    <xf numFmtId="0" fontId="28" fillId="0" borderId="39" xfId="36" applyFont="1" applyBorder="1" applyAlignment="1">
      <alignment horizontal="left" vertical="center"/>
    </xf>
    <xf numFmtId="0" fontId="28" fillId="0" borderId="38" xfId="36" applyFont="1" applyBorder="1" applyAlignment="1">
      <alignment horizontal="left" vertical="center"/>
    </xf>
    <xf numFmtId="0" fontId="29" fillId="0" borderId="48" xfId="36" applyFont="1" applyBorder="1" applyAlignment="1">
      <alignment horizontal="left" vertical="center" wrapText="1"/>
    </xf>
    <xf numFmtId="0" fontId="29" fillId="0" borderId="49" xfId="36" applyFont="1" applyBorder="1" applyAlignment="1">
      <alignment horizontal="left" vertical="center" wrapText="1"/>
    </xf>
    <xf numFmtId="0" fontId="29" fillId="0" borderId="50" xfId="36" applyFont="1" applyBorder="1" applyAlignment="1">
      <alignment horizontal="left" vertical="center" wrapText="1"/>
    </xf>
    <xf numFmtId="0" fontId="33" fillId="27" borderId="37" xfId="0" applyFont="1" applyFill="1" applyBorder="1" applyAlignment="1">
      <alignment horizontal="center"/>
    </xf>
    <xf numFmtId="0" fontId="29" fillId="0" borderId="37" xfId="36" applyFont="1" applyBorder="1" applyAlignment="1">
      <alignment horizontal="left" vertical="center" wrapText="1"/>
    </xf>
    <xf numFmtId="0" fontId="0" fillId="0" borderId="36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4" fillId="2" borderId="4" xfId="1" applyFont="1" applyFill="1" applyBorder="1" applyAlignment="1">
      <alignment horizontal="center" vertical="top" wrapText="1"/>
    </xf>
    <xf numFmtId="0" fontId="4" fillId="2" borderId="3" xfId="1" applyFont="1" applyFill="1" applyBorder="1" applyAlignment="1">
      <alignment horizontal="center" vertical="top" wrapText="1"/>
    </xf>
    <xf numFmtId="0" fontId="3" fillId="5" borderId="14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4" fillId="2" borderId="7" xfId="1" applyFont="1" applyFill="1" applyBorder="1" applyAlignment="1">
      <alignment horizontal="center" vertical="top" wrapText="1"/>
    </xf>
    <xf numFmtId="0" fontId="4" fillId="2" borderId="3" xfId="1" applyFont="1" applyFill="1" applyBorder="1" applyAlignment="1">
      <alignment horizontal="center" vertical="top"/>
    </xf>
    <xf numFmtId="0" fontId="4" fillId="2" borderId="15" xfId="1" applyFont="1" applyFill="1" applyBorder="1" applyAlignment="1">
      <alignment horizontal="center" vertical="top" wrapText="1"/>
    </xf>
    <xf numFmtId="0" fontId="7" fillId="0" borderId="13" xfId="1" applyBorder="1" applyAlignment="1">
      <alignment vertical="top"/>
    </xf>
    <xf numFmtId="0" fontId="4" fillId="2" borderId="15" xfId="1" applyFont="1" applyFill="1" applyBorder="1" applyAlignment="1">
      <alignment horizontal="left" vertical="top" wrapText="1"/>
    </xf>
    <xf numFmtId="0" fontId="7" fillId="0" borderId="13" xfId="1" applyBorder="1" applyAlignment="1">
      <alignment horizontal="left" vertical="top" wrapText="1"/>
    </xf>
    <xf numFmtId="0" fontId="7" fillId="0" borderId="3" xfId="1" applyBorder="1" applyAlignment="1">
      <alignment horizontal="center" vertical="top"/>
    </xf>
    <xf numFmtId="0" fontId="6" fillId="6" borderId="14" xfId="1" applyFont="1" applyFill="1" applyBorder="1" applyAlignment="1">
      <alignment horizontal="center" vertical="center" wrapText="1"/>
    </xf>
    <xf numFmtId="0" fontId="6" fillId="6" borderId="2" xfId="1" applyFont="1" applyFill="1" applyBorder="1" applyAlignment="1">
      <alignment horizontal="center" vertical="center" wrapText="1"/>
    </xf>
    <xf numFmtId="0" fontId="6" fillId="6" borderId="16" xfId="1" applyFont="1" applyFill="1" applyBorder="1" applyAlignment="1">
      <alignment horizontal="center" vertical="center" wrapText="1"/>
    </xf>
    <xf numFmtId="0" fontId="3" fillId="0" borderId="14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0" borderId="5" xfId="1" applyFont="1" applyBorder="1" applyAlignment="1">
      <alignment horizontal="left" vertical="center"/>
    </xf>
    <xf numFmtId="0" fontId="3" fillId="0" borderId="14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3" borderId="4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0" fontId="3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 wrapText="1"/>
    </xf>
    <xf numFmtId="0" fontId="7" fillId="0" borderId="5" xfId="1" applyBorder="1" applyAlignment="1">
      <alignment horizontal="center" vertical="center"/>
    </xf>
    <xf numFmtId="0" fontId="48" fillId="0" borderId="6" xfId="36" applyFont="1" applyBorder="1" applyAlignment="1">
      <alignment horizontal="center" vertical="center"/>
    </xf>
    <xf numFmtId="0" fontId="32" fillId="0" borderId="6" xfId="36" applyFont="1" applyBorder="1" applyAlignment="1">
      <alignment horizontal="center" vertical="center"/>
    </xf>
    <xf numFmtId="0" fontId="33" fillId="27" borderId="36" xfId="0" applyFont="1" applyFill="1" applyBorder="1" applyAlignment="1"/>
    <xf numFmtId="0" fontId="33" fillId="27" borderId="35" xfId="0" applyFont="1" applyFill="1" applyBorder="1" applyAlignment="1"/>
  </cellXfs>
  <cellStyles count="38">
    <cellStyle name="20% - Accent1" xfId="2" xr:uid="{00000000-0005-0000-0000-000000000000}"/>
    <cellStyle name="20% - Accent2" xfId="3" xr:uid="{00000000-0005-0000-0000-000001000000}"/>
    <cellStyle name="20% - Accent3" xfId="4" xr:uid="{00000000-0005-0000-0000-000002000000}"/>
    <cellStyle name="20% - Accent4" xfId="5" xr:uid="{00000000-0005-0000-0000-000003000000}"/>
    <cellStyle name="20% - Accent5" xfId="6" xr:uid="{00000000-0005-0000-0000-000004000000}"/>
    <cellStyle name="20% - Accent6" xfId="7" xr:uid="{00000000-0005-0000-0000-000005000000}"/>
    <cellStyle name="40% - Accent1" xfId="8" xr:uid="{00000000-0005-0000-0000-000006000000}"/>
    <cellStyle name="40% - Accent2" xfId="9" xr:uid="{00000000-0005-0000-0000-000007000000}"/>
    <cellStyle name="40% - Accent3" xfId="10" xr:uid="{00000000-0005-0000-0000-000008000000}"/>
    <cellStyle name="40% - Accent4" xfId="11" xr:uid="{00000000-0005-0000-0000-000009000000}"/>
    <cellStyle name="40% - Accent5" xfId="12" xr:uid="{00000000-0005-0000-0000-00000A000000}"/>
    <cellStyle name="40% - Accent6" xfId="13" xr:uid="{00000000-0005-0000-0000-00000B000000}"/>
    <cellStyle name="60% - Accent1" xfId="14" xr:uid="{00000000-0005-0000-0000-00000C000000}"/>
    <cellStyle name="60% - Accent2" xfId="15" xr:uid="{00000000-0005-0000-0000-00000D000000}"/>
    <cellStyle name="60% - Accent3" xfId="16" xr:uid="{00000000-0005-0000-0000-00000E000000}"/>
    <cellStyle name="60% - Accent4" xfId="17" xr:uid="{00000000-0005-0000-0000-00000F000000}"/>
    <cellStyle name="60% - Accent5" xfId="18" xr:uid="{00000000-0005-0000-0000-000010000000}"/>
    <cellStyle name="60% - Accent6" xfId="19" xr:uid="{00000000-0005-0000-0000-000011000000}"/>
    <cellStyle name="Bad" xfId="20" xr:uid="{00000000-0005-0000-0000-000012000000}"/>
    <cellStyle name="Calculation" xfId="21" xr:uid="{00000000-0005-0000-0000-000013000000}"/>
    <cellStyle name="Check Cell" xfId="22" xr:uid="{00000000-0005-0000-0000-000014000000}"/>
    <cellStyle name="Explanatory Text" xfId="23" xr:uid="{00000000-0005-0000-0000-000015000000}"/>
    <cellStyle name="Good" xfId="24" xr:uid="{00000000-0005-0000-0000-000016000000}"/>
    <cellStyle name="Heading 1" xfId="25" xr:uid="{00000000-0005-0000-0000-000017000000}"/>
    <cellStyle name="Heading 2" xfId="26" xr:uid="{00000000-0005-0000-0000-000018000000}"/>
    <cellStyle name="Heading 3" xfId="27" xr:uid="{00000000-0005-0000-0000-000019000000}"/>
    <cellStyle name="Heading 4" xfId="28" xr:uid="{00000000-0005-0000-0000-00001A000000}"/>
    <cellStyle name="Input" xfId="29" xr:uid="{00000000-0005-0000-0000-00001B000000}"/>
    <cellStyle name="Linked Cell" xfId="30" xr:uid="{00000000-0005-0000-0000-00001C000000}"/>
    <cellStyle name="Neutral" xfId="31" xr:uid="{00000000-0005-0000-0000-00001D000000}"/>
    <cellStyle name="Normal" xfId="0" builtinId="0"/>
    <cellStyle name="Normal 2" xfId="1" xr:uid="{00000000-0005-0000-0000-00001F000000}"/>
    <cellStyle name="Normal 3" xfId="36" xr:uid="{00000000-0005-0000-0000-000020000000}"/>
    <cellStyle name="Normal 4" xfId="37" xr:uid="{00000000-0005-0000-0000-000021000000}"/>
    <cellStyle name="Note" xfId="32" xr:uid="{00000000-0005-0000-0000-000022000000}"/>
    <cellStyle name="Output" xfId="33" xr:uid="{00000000-0005-0000-0000-000023000000}"/>
    <cellStyle name="Title" xfId="34" xr:uid="{00000000-0005-0000-0000-000024000000}"/>
    <cellStyle name="Warning Text" xfId="35" xr:uid="{00000000-0005-0000-0000-00002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5</xdr:row>
      <xdr:rowOff>171450</xdr:rowOff>
    </xdr:from>
    <xdr:to>
      <xdr:col>1</xdr:col>
      <xdr:colOff>170597</xdr:colOff>
      <xdr:row>9</xdr:row>
      <xdr:rowOff>9952</xdr:rowOff>
    </xdr:to>
    <xdr:pic>
      <xdr:nvPicPr>
        <xdr:cNvPr id="2" name="Image 1" descr="Logo AWB.b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04800" y="1123950"/>
          <a:ext cx="627797" cy="600502"/>
        </a:xfrm>
        <a:prstGeom prst="rect">
          <a:avLst/>
        </a:prstGeom>
      </xdr:spPr>
    </xdr:pic>
    <xdr:clientData/>
  </xdr:twoCellAnchor>
  <xdr:twoCellAnchor editAs="oneCell">
    <xdr:from>
      <xdr:col>7</xdr:col>
      <xdr:colOff>495300</xdr:colOff>
      <xdr:row>70</xdr:row>
      <xdr:rowOff>133350</xdr:rowOff>
    </xdr:from>
    <xdr:to>
      <xdr:col>7</xdr:col>
      <xdr:colOff>1068506</xdr:colOff>
      <xdr:row>73</xdr:row>
      <xdr:rowOff>25874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829300" y="12211050"/>
          <a:ext cx="573206" cy="46402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0</xdr:rowOff>
    </xdr:from>
    <xdr:to>
      <xdr:col>1</xdr:col>
      <xdr:colOff>781050</xdr:colOff>
      <xdr:row>1</xdr:row>
      <xdr:rowOff>228600</xdr:rowOff>
    </xdr:to>
    <xdr:pic>
      <xdr:nvPicPr>
        <xdr:cNvPr id="2" name="Image 1" descr="Logo AWB.bmp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390525" y="0"/>
          <a:ext cx="571500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380999</xdr:colOff>
      <xdr:row>0</xdr:row>
      <xdr:rowOff>0</xdr:rowOff>
    </xdr:from>
    <xdr:to>
      <xdr:col>1</xdr:col>
      <xdr:colOff>1000124</xdr:colOff>
      <xdr:row>1</xdr:row>
      <xdr:rowOff>228600</xdr:rowOff>
    </xdr:to>
    <xdr:pic>
      <xdr:nvPicPr>
        <xdr:cNvPr id="2" name="Image 1" descr="Logo AWB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61974" y="0"/>
          <a:ext cx="61912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206375</xdr:colOff>
      <xdr:row>0</xdr:row>
      <xdr:rowOff>6350</xdr:rowOff>
    </xdr:from>
    <xdr:to>
      <xdr:col>1</xdr:col>
      <xdr:colOff>1397000</xdr:colOff>
      <xdr:row>2</xdr:row>
      <xdr:rowOff>38100</xdr:rowOff>
    </xdr:to>
    <xdr:pic>
      <xdr:nvPicPr>
        <xdr:cNvPr id="2" name="Image 1" descr="Logo AWB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54025" y="6350"/>
          <a:ext cx="1190625" cy="660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66675</xdr:rowOff>
    </xdr:from>
    <xdr:to>
      <xdr:col>0</xdr:col>
      <xdr:colOff>1343025</xdr:colOff>
      <xdr:row>0</xdr:row>
      <xdr:rowOff>971550</xdr:rowOff>
    </xdr:to>
    <xdr:pic>
      <xdr:nvPicPr>
        <xdr:cNvPr id="2" name="Picture 2" descr="AW_BCNoi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0" y="66675"/>
          <a:ext cx="11525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0</xdr:row>
          <xdr:rowOff>714375</xdr:rowOff>
        </xdr:from>
        <xdr:to>
          <xdr:col>1</xdr:col>
          <xdr:colOff>962025</xdr:colOff>
          <xdr:row>0</xdr:row>
          <xdr:rowOff>942975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0</xdr:row>
          <xdr:rowOff>714375</xdr:rowOff>
        </xdr:from>
        <xdr:to>
          <xdr:col>1</xdr:col>
          <xdr:colOff>1514475</xdr:colOff>
          <xdr:row>0</xdr:row>
          <xdr:rowOff>942975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206375</xdr:colOff>
      <xdr:row>1</xdr:row>
      <xdr:rowOff>6350</xdr:rowOff>
    </xdr:from>
    <xdr:to>
      <xdr:col>1</xdr:col>
      <xdr:colOff>1397000</xdr:colOff>
      <xdr:row>3</xdr:row>
      <xdr:rowOff>38100</xdr:rowOff>
    </xdr:to>
    <xdr:pic>
      <xdr:nvPicPr>
        <xdr:cNvPr id="2" name="Image 1" descr="Logo AWB.b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54025" y="6350"/>
          <a:ext cx="1190625" cy="660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Y3B5C~1.LOK\LOCALS~1\Temp\notesAF924C\RM3_OUT_ReferentielExigences_FR_v5.0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ésentation"/>
      <sheetName val="CheckList AVV"/>
      <sheetName val="Feuil2"/>
      <sheetName val="Referentiel"/>
      <sheetName val="Cartographie"/>
      <sheetName val="Troc"/>
      <sheetName val="Indicateurs"/>
      <sheetName val="Critères"/>
      <sheetName val="Données_Indicateur"/>
      <sheetName val="PARAM"/>
      <sheetName val="Feuil1"/>
      <sheetName val="Export"/>
      <sheetName val="Feuil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76"/>
  <sheetViews>
    <sheetView showGridLines="0" topLeftCell="A2" zoomScaleSheetLayoutView="50" workbookViewId="0">
      <selection activeCell="E11" sqref="E11"/>
    </sheetView>
  </sheetViews>
  <sheetFormatPr defaultColWidth="11.42578125" defaultRowHeight="15"/>
  <cols>
    <col min="1" max="6" width="11.42578125" style="65"/>
    <col min="7" max="7" width="11.42578125" style="65" customWidth="1"/>
    <col min="8" max="8" width="22.140625" style="65" customWidth="1"/>
    <col min="9" max="9" width="5.140625" style="65" customWidth="1"/>
    <col min="10" max="16384" width="11.42578125" style="65"/>
  </cols>
  <sheetData>
    <row r="1" spans="1:9">
      <c r="H1" s="66"/>
    </row>
    <row r="2" spans="1:9">
      <c r="H2" s="66"/>
    </row>
    <row r="3" spans="1:9">
      <c r="H3" s="66"/>
    </row>
    <row r="4" spans="1:9">
      <c r="H4" s="66"/>
    </row>
    <row r="5" spans="1:9">
      <c r="H5" s="66"/>
    </row>
    <row r="6" spans="1:9" ht="15" customHeight="1">
      <c r="A6" s="107" t="s">
        <v>0</v>
      </c>
      <c r="B6" s="107"/>
      <c r="C6" s="107"/>
      <c r="D6" s="107"/>
      <c r="E6" s="108" t="s">
        <v>1</v>
      </c>
      <c r="F6" s="109"/>
      <c r="G6" s="109"/>
      <c r="H6" s="109"/>
      <c r="I6" s="109"/>
    </row>
    <row r="7" spans="1:9" ht="15" customHeight="1">
      <c r="A7" s="107"/>
      <c r="B7" s="107"/>
      <c r="C7" s="107"/>
      <c r="D7" s="107"/>
      <c r="E7" s="109"/>
      <c r="F7" s="109"/>
      <c r="G7" s="109"/>
      <c r="H7" s="109"/>
      <c r="I7" s="109"/>
    </row>
    <row r="8" spans="1:9" ht="15" customHeight="1">
      <c r="A8" s="107"/>
      <c r="B8" s="107"/>
      <c r="C8" s="107"/>
      <c r="D8" s="107"/>
      <c r="E8" s="109"/>
      <c r="F8" s="109"/>
      <c r="G8" s="109"/>
      <c r="H8" s="109"/>
      <c r="I8" s="109"/>
    </row>
    <row r="9" spans="1:9" ht="15" customHeight="1">
      <c r="A9" s="107"/>
      <c r="B9" s="107"/>
      <c r="C9" s="107"/>
      <c r="D9" s="107"/>
      <c r="E9" s="109"/>
      <c r="F9" s="109"/>
      <c r="G9" s="109"/>
      <c r="H9" s="109"/>
      <c r="I9" s="109"/>
    </row>
    <row r="10" spans="1:9" ht="15" customHeight="1">
      <c r="A10" s="107"/>
      <c r="B10" s="107"/>
      <c r="C10" s="107"/>
      <c r="D10" s="107"/>
      <c r="E10" s="109"/>
      <c r="F10" s="109"/>
      <c r="G10" s="109"/>
      <c r="H10" s="109"/>
      <c r="I10" s="109"/>
    </row>
    <row r="11" spans="1:9">
      <c r="H11" s="66"/>
    </row>
    <row r="12" spans="1:9">
      <c r="H12" s="66"/>
    </row>
    <row r="13" spans="1:9">
      <c r="H13" s="66"/>
    </row>
    <row r="14" spans="1:9">
      <c r="H14" s="66"/>
    </row>
    <row r="15" spans="1:9">
      <c r="H15" s="66"/>
    </row>
    <row r="16" spans="1:9">
      <c r="H16" s="66"/>
    </row>
    <row r="17" spans="8:8">
      <c r="H17" s="66"/>
    </row>
    <row r="18" spans="8:8">
      <c r="H18" s="66"/>
    </row>
    <row r="19" spans="8:8">
      <c r="H19" s="66"/>
    </row>
    <row r="20" spans="8:8">
      <c r="H20" s="66"/>
    </row>
    <row r="21" spans="8:8">
      <c r="H21" s="66"/>
    </row>
    <row r="22" spans="8:8">
      <c r="H22" s="66"/>
    </row>
    <row r="23" spans="8:8">
      <c r="H23" s="66"/>
    </row>
    <row r="24" spans="8:8">
      <c r="H24" s="66"/>
    </row>
    <row r="25" spans="8:8">
      <c r="H25" s="66"/>
    </row>
    <row r="26" spans="8:8">
      <c r="H26" s="66"/>
    </row>
    <row r="27" spans="8:8">
      <c r="H27" s="66"/>
    </row>
    <row r="28" spans="8:8">
      <c r="H28" s="66"/>
    </row>
    <row r="29" spans="8:8">
      <c r="H29" s="66"/>
    </row>
    <row r="30" spans="8:8">
      <c r="H30" s="66"/>
    </row>
    <row r="31" spans="8:8">
      <c r="H31" s="66"/>
    </row>
    <row r="32" spans="8:8">
      <c r="H32" s="66"/>
    </row>
    <row r="33" spans="1:9">
      <c r="H33" s="66"/>
    </row>
    <row r="34" spans="1:9">
      <c r="H34" s="66"/>
    </row>
    <row r="35" spans="1:9" ht="6" customHeight="1">
      <c r="A35" s="110"/>
      <c r="B35" s="110"/>
      <c r="C35" s="110"/>
      <c r="D35" s="110"/>
      <c r="E35" s="110"/>
      <c r="F35" s="110"/>
      <c r="G35" s="110"/>
      <c r="H35" s="67"/>
      <c r="I35" s="110"/>
    </row>
    <row r="36" spans="1:9">
      <c r="A36" s="67"/>
      <c r="B36" s="111" t="s">
        <v>2</v>
      </c>
      <c r="C36" s="111"/>
      <c r="D36" s="112" t="s">
        <v>3</v>
      </c>
      <c r="E36" s="112"/>
      <c r="F36" s="112"/>
      <c r="G36" s="112"/>
      <c r="H36" s="112"/>
      <c r="I36" s="110"/>
    </row>
    <row r="37" spans="1:9" ht="6" customHeight="1">
      <c r="A37" s="113"/>
      <c r="B37" s="113"/>
      <c r="C37" s="113"/>
      <c r="D37" s="113"/>
      <c r="E37" s="113"/>
      <c r="F37" s="113"/>
      <c r="G37" s="113"/>
      <c r="H37" s="113"/>
      <c r="I37" s="110"/>
    </row>
    <row r="38" spans="1:9">
      <c r="A38" s="67"/>
      <c r="B38" s="111" t="s">
        <v>4</v>
      </c>
      <c r="C38" s="111"/>
      <c r="D38" s="112" t="s">
        <v>5</v>
      </c>
      <c r="E38" s="112"/>
      <c r="F38" s="112"/>
      <c r="G38" s="112"/>
      <c r="H38" s="112"/>
      <c r="I38" s="110"/>
    </row>
    <row r="39" spans="1:9" ht="6" customHeight="1">
      <c r="A39" s="110"/>
      <c r="B39" s="110"/>
      <c r="C39" s="110"/>
      <c r="D39" s="110"/>
      <c r="E39" s="110"/>
      <c r="F39" s="110"/>
      <c r="G39" s="110"/>
      <c r="H39" s="67"/>
      <c r="I39" s="110"/>
    </row>
    <row r="40" spans="1:9">
      <c r="H40" s="66"/>
    </row>
    <row r="41" spans="1:9">
      <c r="H41" s="66"/>
    </row>
    <row r="42" spans="1:9">
      <c r="H42" s="66"/>
    </row>
    <row r="43" spans="1:9">
      <c r="H43" s="66"/>
    </row>
    <row r="44" spans="1:9">
      <c r="H44" s="66"/>
    </row>
    <row r="45" spans="1:9" ht="6" customHeight="1">
      <c r="A45" s="110"/>
      <c r="B45" s="110"/>
      <c r="C45" s="110"/>
      <c r="D45" s="110"/>
      <c r="E45" s="110"/>
      <c r="F45" s="110"/>
      <c r="G45" s="110"/>
      <c r="H45" s="67"/>
      <c r="I45" s="67"/>
    </row>
    <row r="46" spans="1:9">
      <c r="A46" s="67"/>
      <c r="B46" s="111" t="s">
        <v>6</v>
      </c>
      <c r="C46" s="111"/>
      <c r="D46" s="112" t="s">
        <v>7</v>
      </c>
      <c r="E46" s="112"/>
      <c r="F46" s="112"/>
      <c r="G46" s="112"/>
      <c r="H46" s="112"/>
      <c r="I46" s="67"/>
    </row>
    <row r="47" spans="1:9" ht="6" customHeight="1">
      <c r="A47" s="110"/>
      <c r="B47" s="110"/>
      <c r="C47" s="110"/>
      <c r="D47" s="110"/>
      <c r="E47" s="110"/>
      <c r="F47" s="110"/>
      <c r="G47" s="110"/>
      <c r="H47" s="67"/>
      <c r="I47" s="67"/>
    </row>
    <row r="48" spans="1:9">
      <c r="A48" s="67"/>
      <c r="B48" s="111" t="s">
        <v>8</v>
      </c>
      <c r="C48" s="111"/>
      <c r="D48" s="112" t="s">
        <v>9</v>
      </c>
      <c r="E48" s="112"/>
      <c r="F48" s="112"/>
      <c r="G48" s="112"/>
      <c r="H48" s="112"/>
      <c r="I48" s="67"/>
    </row>
    <row r="49" spans="1:9" ht="6" customHeight="1">
      <c r="A49" s="110"/>
      <c r="B49" s="110"/>
      <c r="C49" s="110"/>
      <c r="D49" s="110"/>
      <c r="E49" s="110"/>
      <c r="F49" s="110"/>
      <c r="G49" s="110"/>
      <c r="H49" s="67"/>
      <c r="I49" s="67"/>
    </row>
    <row r="50" spans="1:9" ht="6" customHeight="1">
      <c r="A50" s="110"/>
      <c r="B50" s="110"/>
      <c r="C50" s="110"/>
      <c r="D50" s="110"/>
      <c r="E50" s="110"/>
      <c r="F50" s="110"/>
      <c r="G50" s="110"/>
      <c r="H50" s="67"/>
      <c r="I50" s="67"/>
    </row>
    <row r="51" spans="1:9">
      <c r="A51" s="67"/>
      <c r="B51" s="111" t="s">
        <v>10</v>
      </c>
      <c r="C51" s="111"/>
      <c r="D51" s="112" t="s">
        <v>11</v>
      </c>
      <c r="E51" s="112"/>
      <c r="F51" s="112"/>
      <c r="G51" s="112"/>
      <c r="H51" s="112"/>
      <c r="I51" s="67"/>
    </row>
    <row r="52" spans="1:9" ht="6" customHeight="1">
      <c r="A52" s="110"/>
      <c r="B52" s="110"/>
      <c r="C52" s="110"/>
      <c r="D52" s="110"/>
      <c r="E52" s="110"/>
      <c r="F52" s="110"/>
      <c r="G52" s="110"/>
      <c r="H52" s="67"/>
      <c r="I52" s="67"/>
    </row>
    <row r="53" spans="1:9">
      <c r="A53" s="67"/>
      <c r="B53" s="111" t="s">
        <v>12</v>
      </c>
      <c r="C53" s="111"/>
      <c r="D53" s="114"/>
      <c r="E53" s="114"/>
      <c r="F53" s="111" t="s">
        <v>13</v>
      </c>
      <c r="G53" s="111"/>
      <c r="H53" s="68"/>
      <c r="I53" s="67"/>
    </row>
    <row r="54" spans="1:9" ht="6" customHeight="1">
      <c r="A54" s="110"/>
      <c r="B54" s="110"/>
      <c r="C54" s="110"/>
      <c r="D54" s="110"/>
      <c r="E54" s="110"/>
      <c r="F54" s="110"/>
      <c r="G54" s="110"/>
      <c r="H54" s="67"/>
      <c r="I54" s="67"/>
    </row>
    <row r="55" spans="1:9">
      <c r="A55" s="67"/>
      <c r="B55" s="111" t="s">
        <v>14</v>
      </c>
      <c r="C55" s="111"/>
      <c r="D55" s="112" t="s">
        <v>15</v>
      </c>
      <c r="E55" s="112"/>
      <c r="F55" s="111" t="s">
        <v>16</v>
      </c>
      <c r="G55" s="111"/>
      <c r="H55" s="99">
        <v>41330</v>
      </c>
      <c r="I55" s="67"/>
    </row>
    <row r="56" spans="1:9" ht="6" customHeight="1">
      <c r="A56" s="110"/>
      <c r="B56" s="110"/>
      <c r="C56" s="110"/>
      <c r="D56" s="110"/>
      <c r="E56" s="110"/>
      <c r="F56" s="110"/>
      <c r="G56" s="110"/>
      <c r="H56" s="67"/>
      <c r="I56" s="67"/>
    </row>
    <row r="57" spans="1:9">
      <c r="A57" s="67"/>
      <c r="B57" s="111" t="s">
        <v>17</v>
      </c>
      <c r="C57" s="111"/>
      <c r="D57" s="69"/>
      <c r="E57" s="69"/>
      <c r="F57" s="111" t="s">
        <v>18</v>
      </c>
      <c r="G57" s="111"/>
      <c r="H57" s="69"/>
      <c r="I57" s="67"/>
    </row>
    <row r="58" spans="1:9" ht="6" customHeight="1">
      <c r="A58" s="110"/>
      <c r="B58" s="110"/>
      <c r="C58" s="110"/>
      <c r="D58" s="110"/>
      <c r="E58" s="110"/>
      <c r="F58" s="110"/>
      <c r="G58" s="110"/>
      <c r="H58" s="67"/>
      <c r="I58" s="67"/>
    </row>
    <row r="59" spans="1:9">
      <c r="H59" s="66"/>
    </row>
    <row r="60" spans="1:9">
      <c r="H60" s="66"/>
    </row>
    <row r="61" spans="1:9">
      <c r="H61" s="66"/>
    </row>
    <row r="62" spans="1:9">
      <c r="H62" s="66"/>
    </row>
    <row r="63" spans="1:9">
      <c r="H63" s="66"/>
    </row>
    <row r="64" spans="1:9">
      <c r="H64" s="66"/>
    </row>
    <row r="65" spans="1:9">
      <c r="H65" s="66"/>
    </row>
    <row r="66" spans="1:9">
      <c r="H66" s="66"/>
    </row>
    <row r="67" spans="1:9">
      <c r="H67" s="66"/>
    </row>
    <row r="68" spans="1:9">
      <c r="H68" s="66"/>
    </row>
    <row r="69" spans="1:9">
      <c r="H69" s="66"/>
    </row>
    <row r="70" spans="1:9">
      <c r="H70" s="66"/>
    </row>
    <row r="71" spans="1:9">
      <c r="H71" s="66"/>
    </row>
    <row r="72" spans="1:9">
      <c r="A72" s="115" t="s">
        <v>19</v>
      </c>
      <c r="B72" s="116"/>
      <c r="C72" s="116"/>
      <c r="D72" s="116"/>
      <c r="E72" s="116"/>
      <c r="F72" s="116"/>
      <c r="G72" s="116"/>
      <c r="H72" s="66"/>
      <c r="I72" s="119"/>
    </row>
    <row r="73" spans="1:9">
      <c r="A73" s="117"/>
      <c r="B73" s="118"/>
      <c r="C73" s="118"/>
      <c r="D73" s="118"/>
      <c r="E73" s="118"/>
      <c r="F73" s="118"/>
      <c r="G73" s="118"/>
      <c r="H73" s="66"/>
      <c r="I73" s="120"/>
    </row>
    <row r="74" spans="1:9">
      <c r="H74" s="66"/>
    </row>
    <row r="75" spans="1:9">
      <c r="H75" s="66"/>
    </row>
    <row r="76" spans="1:9">
      <c r="H76" s="66"/>
    </row>
  </sheetData>
  <mergeCells count="34">
    <mergeCell ref="A58:G58"/>
    <mergeCell ref="A72:G73"/>
    <mergeCell ref="I72:I73"/>
    <mergeCell ref="A54:G54"/>
    <mergeCell ref="B55:C55"/>
    <mergeCell ref="F55:G55"/>
    <mergeCell ref="A56:G56"/>
    <mergeCell ref="B57:C57"/>
    <mergeCell ref="F57:G57"/>
    <mergeCell ref="D55:E55"/>
    <mergeCell ref="B53:C53"/>
    <mergeCell ref="D53:E53"/>
    <mergeCell ref="F53:G53"/>
    <mergeCell ref="A45:G45"/>
    <mergeCell ref="B46:C46"/>
    <mergeCell ref="D46:H46"/>
    <mergeCell ref="A47:G47"/>
    <mergeCell ref="B48:C48"/>
    <mergeCell ref="D48:H48"/>
    <mergeCell ref="A49:G49"/>
    <mergeCell ref="A50:G50"/>
    <mergeCell ref="B51:C51"/>
    <mergeCell ref="D51:H51"/>
    <mergeCell ref="A52:G52"/>
    <mergeCell ref="A6:D10"/>
    <mergeCell ref="E6:I10"/>
    <mergeCell ref="A35:G35"/>
    <mergeCell ref="I35:I39"/>
    <mergeCell ref="B36:C36"/>
    <mergeCell ref="D36:H36"/>
    <mergeCell ref="A37:H37"/>
    <mergeCell ref="B38:C38"/>
    <mergeCell ref="D38:H38"/>
    <mergeCell ref="A39:G39"/>
  </mergeCells>
  <pageMargins left="0.7" right="0.69" top="0.3" bottom="0.31" header="0.3" footer="0.3"/>
  <pageSetup paperSize="9" scale="7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4"/>
  <sheetViews>
    <sheetView view="pageBreakPreview" zoomScaleSheetLayoutView="100" workbookViewId="0">
      <selection activeCell="E11" sqref="E11:E12"/>
    </sheetView>
  </sheetViews>
  <sheetFormatPr defaultColWidth="11.42578125" defaultRowHeight="15"/>
  <cols>
    <col min="1" max="1" width="2.7109375" style="75" customWidth="1"/>
    <col min="2" max="2" width="15.140625" style="65" customWidth="1"/>
    <col min="3" max="3" width="17.28515625" style="92" customWidth="1"/>
    <col min="4" max="4" width="37.85546875" style="65" customWidth="1"/>
    <col min="5" max="5" width="14" style="65" customWidth="1"/>
    <col min="6" max="6" width="13.28515625" style="80" bestFit="1" customWidth="1"/>
    <col min="7" max="7" width="3.28515625" style="70" customWidth="1"/>
    <col min="8" max="16384" width="11.42578125" style="65"/>
  </cols>
  <sheetData>
    <row r="1" spans="1:7" ht="20.25" customHeight="1">
      <c r="A1" s="70"/>
      <c r="B1" s="122"/>
      <c r="C1" s="123" t="s">
        <v>20</v>
      </c>
      <c r="D1" s="123"/>
      <c r="E1" s="123"/>
      <c r="F1" s="123"/>
    </row>
    <row r="2" spans="1:7" ht="18.75" customHeight="1">
      <c r="A2" s="70"/>
      <c r="B2" s="122"/>
      <c r="C2" s="124" t="s">
        <v>21</v>
      </c>
      <c r="D2" s="124"/>
      <c r="E2" s="124"/>
      <c r="F2" s="124"/>
    </row>
    <row r="3" spans="1:7">
      <c r="A3" s="71"/>
      <c r="B3" s="72"/>
      <c r="C3" s="73"/>
      <c r="D3" s="72"/>
      <c r="E3" s="72"/>
      <c r="F3" s="74"/>
    </row>
    <row r="4" spans="1:7">
      <c r="B4" s="76"/>
      <c r="C4" s="77"/>
      <c r="D4" s="70"/>
      <c r="E4" s="70"/>
      <c r="F4" s="75"/>
    </row>
    <row r="5" spans="1:7" ht="20.100000000000001" customHeight="1">
      <c r="B5" s="125" t="s">
        <v>22</v>
      </c>
      <c r="C5" s="126"/>
      <c r="D5" s="126"/>
      <c r="E5" s="126"/>
      <c r="F5" s="126"/>
    </row>
    <row r="6" spans="1:7" s="80" customFormat="1" ht="5.0999999999999996" customHeight="1">
      <c r="A6" s="75"/>
      <c r="B6" s="78"/>
      <c r="C6" s="79"/>
      <c r="D6" s="79"/>
      <c r="E6" s="79"/>
      <c r="F6" s="65"/>
      <c r="G6" s="75"/>
    </row>
    <row r="7" spans="1:7" s="80" customFormat="1" ht="109.5" customHeight="1">
      <c r="A7" s="75"/>
      <c r="B7" s="127" t="s">
        <v>23</v>
      </c>
      <c r="C7" s="128"/>
      <c r="D7" s="128"/>
      <c r="E7" s="128"/>
      <c r="F7" s="129"/>
      <c r="G7" s="75"/>
    </row>
    <row r="8" spans="1:7" s="80" customFormat="1" ht="9.9499999999999993" customHeight="1">
      <c r="A8" s="75"/>
      <c r="B8" s="81"/>
      <c r="C8" s="82"/>
      <c r="D8" s="82"/>
      <c r="E8" s="82"/>
      <c r="F8" s="74"/>
      <c r="G8" s="75"/>
    </row>
    <row r="9" spans="1:7" ht="15" customHeight="1">
      <c r="B9" s="83"/>
      <c r="C9" s="79"/>
      <c r="D9" s="79"/>
      <c r="E9" s="79"/>
      <c r="F9" s="84"/>
    </row>
    <row r="10" spans="1:7" s="80" customFormat="1">
      <c r="A10" s="75"/>
      <c r="B10" s="85" t="s">
        <v>24</v>
      </c>
      <c r="C10" s="85" t="s">
        <v>25</v>
      </c>
      <c r="D10" s="85" t="s">
        <v>26</v>
      </c>
      <c r="E10" s="85" t="s">
        <v>27</v>
      </c>
      <c r="F10" s="85" t="s">
        <v>28</v>
      </c>
      <c r="G10" s="75"/>
    </row>
    <row r="11" spans="1:7" s="80" customFormat="1">
      <c r="A11" s="75"/>
      <c r="B11" s="86">
        <v>41323</v>
      </c>
      <c r="C11" s="87" t="s">
        <v>29</v>
      </c>
      <c r="D11" s="88" t="s">
        <v>30</v>
      </c>
      <c r="E11" s="88" t="s">
        <v>31</v>
      </c>
      <c r="F11" s="89"/>
      <c r="G11" s="75"/>
    </row>
    <row r="12" spans="1:7" s="80" customFormat="1">
      <c r="A12" s="75"/>
      <c r="B12" s="86">
        <v>41332</v>
      </c>
      <c r="C12" s="87" t="s">
        <v>15</v>
      </c>
      <c r="D12" s="88" t="s">
        <v>32</v>
      </c>
      <c r="E12" s="88" t="s">
        <v>11</v>
      </c>
      <c r="F12" s="89"/>
      <c r="G12" s="75"/>
    </row>
    <row r="13" spans="1:7" s="80" customFormat="1">
      <c r="A13" s="75"/>
      <c r="B13" s="86"/>
      <c r="C13" s="87"/>
      <c r="D13" s="88"/>
      <c r="E13" s="88"/>
      <c r="F13" s="89"/>
      <c r="G13" s="75"/>
    </row>
    <row r="14" spans="1:7" s="80" customFormat="1">
      <c r="A14" s="75"/>
      <c r="B14" s="86"/>
      <c r="C14" s="87"/>
      <c r="D14" s="88"/>
      <c r="E14" s="88"/>
      <c r="F14" s="89"/>
      <c r="G14" s="75"/>
    </row>
    <row r="15" spans="1:7">
      <c r="B15" s="86"/>
      <c r="C15" s="87"/>
      <c r="D15" s="88"/>
      <c r="E15" s="88"/>
      <c r="F15" s="89"/>
    </row>
    <row r="16" spans="1:7">
      <c r="B16" s="86"/>
      <c r="C16" s="87"/>
      <c r="D16" s="88"/>
      <c r="E16" s="88"/>
      <c r="F16" s="89"/>
    </row>
    <row r="17" spans="1:7" ht="15" customHeight="1">
      <c r="B17" s="86"/>
      <c r="C17" s="87"/>
      <c r="D17" s="88"/>
      <c r="E17" s="88"/>
      <c r="F17" s="89"/>
    </row>
    <row r="18" spans="1:7" s="80" customFormat="1">
      <c r="A18" s="75"/>
      <c r="B18" s="86"/>
      <c r="C18" s="87"/>
      <c r="D18" s="88"/>
      <c r="E18" s="88"/>
      <c r="F18" s="89"/>
      <c r="G18" s="75"/>
    </row>
    <row r="19" spans="1:7" s="80" customFormat="1">
      <c r="A19" s="75"/>
      <c r="B19" s="86"/>
      <c r="C19" s="87"/>
      <c r="D19" s="88"/>
      <c r="E19" s="88"/>
      <c r="F19" s="89"/>
      <c r="G19" s="75"/>
    </row>
    <row r="20" spans="1:7" s="80" customFormat="1">
      <c r="A20" s="75"/>
      <c r="B20" s="86"/>
      <c r="C20" s="87"/>
      <c r="D20" s="88"/>
      <c r="E20" s="88"/>
      <c r="F20" s="89"/>
      <c r="G20" s="75"/>
    </row>
    <row r="21" spans="1:7" s="80" customFormat="1">
      <c r="A21" s="75"/>
      <c r="B21" s="75"/>
      <c r="C21" s="75"/>
      <c r="D21" s="75"/>
      <c r="E21" s="75"/>
      <c r="F21" s="75"/>
      <c r="G21" s="75"/>
    </row>
    <row r="22" spans="1:7" s="80" customFormat="1">
      <c r="A22" s="75"/>
      <c r="B22" s="75"/>
      <c r="C22" s="75"/>
      <c r="D22" s="75"/>
      <c r="E22" s="75"/>
      <c r="F22" s="75"/>
      <c r="G22" s="75"/>
    </row>
    <row r="23" spans="1:7">
      <c r="B23" s="70"/>
      <c r="C23" s="77"/>
      <c r="D23" s="70"/>
      <c r="E23" s="70"/>
      <c r="F23" s="75"/>
    </row>
    <row r="24" spans="1:7">
      <c r="B24" s="70"/>
      <c r="C24" s="77"/>
      <c r="D24" s="70"/>
      <c r="E24" s="70"/>
      <c r="F24" s="75"/>
    </row>
    <row r="25" spans="1:7">
      <c r="B25" s="70"/>
      <c r="C25" s="77"/>
      <c r="D25" s="70"/>
      <c r="E25" s="70"/>
      <c r="F25" s="70"/>
    </row>
    <row r="26" spans="1:7" s="80" customFormat="1" ht="20.100000000000001" customHeight="1">
      <c r="A26" s="75"/>
      <c r="B26" s="121"/>
      <c r="C26" s="121"/>
      <c r="D26" s="121"/>
      <c r="E26" s="121"/>
      <c r="F26" s="121"/>
      <c r="G26" s="75"/>
    </row>
    <row r="27" spans="1:7" s="80" customFormat="1" ht="5.0999999999999996" customHeight="1">
      <c r="A27" s="75"/>
      <c r="B27" s="76"/>
      <c r="C27" s="90"/>
      <c r="D27" s="90"/>
      <c r="E27" s="90"/>
      <c r="F27" s="70"/>
      <c r="G27" s="75"/>
    </row>
    <row r="28" spans="1:7" s="80" customFormat="1">
      <c r="A28" s="75"/>
      <c r="B28" s="91"/>
      <c r="C28" s="130"/>
      <c r="D28" s="130"/>
      <c r="E28" s="130"/>
      <c r="F28" s="91"/>
      <c r="G28" s="75"/>
    </row>
    <row r="29" spans="1:7" s="80" customFormat="1">
      <c r="A29" s="75"/>
      <c r="B29" s="91"/>
      <c r="C29" s="130"/>
      <c r="D29" s="130"/>
      <c r="E29" s="130"/>
      <c r="F29" s="91"/>
      <c r="G29" s="75"/>
    </row>
    <row r="30" spans="1:7" s="80" customFormat="1">
      <c r="A30" s="75"/>
      <c r="B30" s="91"/>
      <c r="C30" s="130"/>
      <c r="D30" s="130"/>
      <c r="E30" s="130"/>
      <c r="F30" s="91"/>
      <c r="G30" s="75"/>
    </row>
    <row r="31" spans="1:7">
      <c r="B31" s="91"/>
      <c r="C31" s="130"/>
      <c r="D31" s="130"/>
      <c r="E31" s="130"/>
      <c r="F31" s="91"/>
    </row>
    <row r="32" spans="1:7">
      <c r="B32" s="91"/>
      <c r="C32" s="130"/>
      <c r="D32" s="130"/>
      <c r="E32" s="130"/>
      <c r="F32" s="91"/>
    </row>
    <row r="33" spans="2:6">
      <c r="B33" s="70"/>
      <c r="C33" s="77"/>
      <c r="D33" s="70"/>
      <c r="E33" s="70"/>
      <c r="F33" s="70"/>
    </row>
    <row r="34" spans="2:6">
      <c r="B34" s="70"/>
      <c r="C34" s="77"/>
      <c r="D34" s="70"/>
      <c r="E34" s="70"/>
      <c r="F34" s="70"/>
    </row>
  </sheetData>
  <mergeCells count="11">
    <mergeCell ref="C28:E28"/>
    <mergeCell ref="C29:E29"/>
    <mergeCell ref="C30:E30"/>
    <mergeCell ref="C31:E31"/>
    <mergeCell ref="C32:E32"/>
    <mergeCell ref="B26:F26"/>
    <mergeCell ref="B1:B2"/>
    <mergeCell ref="C1:F1"/>
    <mergeCell ref="C2:F2"/>
    <mergeCell ref="B5:F5"/>
    <mergeCell ref="B7:F7"/>
  </mergeCells>
  <pageMargins left="0.64" right="0.61" top="0.74803149606299213" bottom="0.74803149606299213" header="0.31496062992125984" footer="0.31496062992125984"/>
  <pageSetup paperSize="9" scale="8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5"/>
  <sheetViews>
    <sheetView view="pageBreakPreview" topLeftCell="A10" zoomScaleSheetLayoutView="100" workbookViewId="0">
      <selection activeCell="H15" sqref="H15"/>
    </sheetView>
  </sheetViews>
  <sheetFormatPr defaultColWidth="11.42578125" defaultRowHeight="15"/>
  <cols>
    <col min="1" max="1" width="2.7109375" style="75" customWidth="1"/>
    <col min="2" max="2" width="20.28515625" style="65" customWidth="1"/>
    <col min="3" max="3" width="16.7109375" style="92" customWidth="1"/>
    <col min="4" max="4" width="19.140625" style="65" customWidth="1"/>
    <col min="5" max="5" width="22.7109375" style="65" customWidth="1"/>
    <col min="6" max="6" width="3.28515625" style="70" customWidth="1"/>
    <col min="7" max="16384" width="11.42578125" style="65"/>
  </cols>
  <sheetData>
    <row r="1" spans="1:6" ht="15.75" customHeight="1">
      <c r="A1" s="70"/>
      <c r="B1" s="122"/>
      <c r="C1" s="131" t="s">
        <v>33</v>
      </c>
      <c r="D1" s="131"/>
      <c r="E1" s="131"/>
    </row>
    <row r="2" spans="1:6" ht="18.75" customHeight="1">
      <c r="A2" s="70"/>
      <c r="B2" s="122"/>
      <c r="C2" s="124" t="s">
        <v>34</v>
      </c>
      <c r="D2" s="124"/>
      <c r="E2" s="124"/>
    </row>
    <row r="3" spans="1:6">
      <c r="A3" s="71"/>
      <c r="B3" s="72"/>
      <c r="C3" s="73"/>
      <c r="D3" s="72"/>
      <c r="E3" s="72"/>
    </row>
    <row r="4" spans="1:6">
      <c r="B4" s="76"/>
      <c r="C4" s="77"/>
      <c r="D4" s="70"/>
      <c r="E4" s="70"/>
    </row>
    <row r="5" spans="1:6" ht="20.100000000000001" customHeight="1">
      <c r="B5" s="125" t="s">
        <v>35</v>
      </c>
      <c r="C5" s="126"/>
      <c r="D5" s="126"/>
      <c r="E5" s="126"/>
    </row>
    <row r="6" spans="1:6" s="80" customFormat="1" ht="5.0999999999999996" customHeight="1">
      <c r="A6" s="75"/>
      <c r="B6" s="78"/>
      <c r="C6" s="79"/>
      <c r="D6" s="79"/>
      <c r="E6" s="79"/>
      <c r="F6" s="75"/>
    </row>
    <row r="7" spans="1:6" s="80" customFormat="1" ht="61.5" customHeight="1">
      <c r="A7" s="75"/>
      <c r="B7" s="132" t="s">
        <v>36</v>
      </c>
      <c r="C7" s="132"/>
      <c r="D7" s="132"/>
      <c r="E7" s="132"/>
      <c r="F7" s="75"/>
    </row>
    <row r="8" spans="1:6" s="80" customFormat="1" ht="9.9499999999999993" customHeight="1">
      <c r="A8" s="75"/>
      <c r="B8" s="81"/>
      <c r="C8" s="82"/>
      <c r="D8" s="82"/>
      <c r="E8" s="82"/>
      <c r="F8" s="75"/>
    </row>
    <row r="9" spans="1:6" ht="15" customHeight="1">
      <c r="B9" s="93"/>
      <c r="C9" s="82"/>
      <c r="D9" s="82"/>
      <c r="E9" s="82"/>
    </row>
    <row r="10" spans="1:6" s="80" customFormat="1" ht="20.100000000000001" customHeight="1">
      <c r="A10" s="75"/>
      <c r="B10" s="125" t="s">
        <v>37</v>
      </c>
      <c r="C10" s="126"/>
      <c r="D10" s="126"/>
      <c r="E10" s="126"/>
      <c r="F10" s="75"/>
    </row>
    <row r="11" spans="1:6" s="80" customFormat="1">
      <c r="A11" s="75"/>
      <c r="B11" s="78"/>
      <c r="C11" s="79"/>
      <c r="D11" s="79"/>
      <c r="E11" s="79"/>
      <c r="F11" s="75"/>
    </row>
    <row r="12" spans="1:6" s="80" customFormat="1" ht="15" customHeight="1">
      <c r="A12" s="75"/>
      <c r="B12" s="85" t="s">
        <v>38</v>
      </c>
      <c r="C12" s="85" t="s">
        <v>39</v>
      </c>
      <c r="D12" s="85" t="s">
        <v>40</v>
      </c>
      <c r="E12" s="91"/>
      <c r="F12" s="75"/>
    </row>
    <row r="13" spans="1:6" s="80" customFormat="1">
      <c r="A13" s="75"/>
      <c r="B13" s="94"/>
      <c r="C13" s="95"/>
      <c r="D13" s="95"/>
      <c r="E13" s="96"/>
      <c r="F13" s="75"/>
    </row>
    <row r="14" spans="1:6" s="80" customFormat="1">
      <c r="A14" s="75"/>
      <c r="B14" s="94"/>
      <c r="C14" s="94"/>
      <c r="D14" s="94"/>
      <c r="E14" s="96"/>
      <c r="F14" s="75"/>
    </row>
    <row r="15" spans="1:6">
      <c r="B15" s="94"/>
      <c r="C15" s="94"/>
      <c r="D15" s="94"/>
      <c r="E15" s="96"/>
    </row>
    <row r="16" spans="1:6">
      <c r="B16" s="94"/>
      <c r="C16" s="94"/>
      <c r="D16" s="94"/>
      <c r="E16" s="96"/>
    </row>
    <row r="17" spans="1:6" ht="15" customHeight="1">
      <c r="B17" s="93"/>
      <c r="C17" s="82"/>
      <c r="D17" s="97"/>
      <c r="E17" s="90"/>
    </row>
    <row r="18" spans="1:6" s="80" customFormat="1" ht="20.100000000000001" customHeight="1">
      <c r="A18" s="75"/>
      <c r="B18" s="125" t="s">
        <v>41</v>
      </c>
      <c r="C18" s="126"/>
      <c r="D18" s="126"/>
      <c r="E18" s="126"/>
      <c r="F18" s="75"/>
    </row>
    <row r="19" spans="1:6" s="80" customFormat="1">
      <c r="A19" s="75"/>
      <c r="B19" s="78"/>
      <c r="C19" s="79"/>
      <c r="D19" s="79"/>
      <c r="E19" s="79"/>
      <c r="F19" s="75"/>
    </row>
    <row r="20" spans="1:6" s="80" customFormat="1">
      <c r="A20" s="75"/>
      <c r="B20" s="85" t="s">
        <v>38</v>
      </c>
      <c r="C20" s="85" t="s">
        <v>42</v>
      </c>
      <c r="D20" s="85" t="s">
        <v>39</v>
      </c>
      <c r="E20" s="85" t="s">
        <v>40</v>
      </c>
      <c r="F20" s="75"/>
    </row>
    <row r="21" spans="1:6" s="80" customFormat="1">
      <c r="A21" s="75"/>
      <c r="B21" s="94"/>
      <c r="C21" s="95"/>
      <c r="D21" s="94"/>
      <c r="E21" s="94"/>
      <c r="F21" s="75"/>
    </row>
    <row r="22" spans="1:6" s="80" customFormat="1">
      <c r="A22" s="75"/>
      <c r="B22" s="94"/>
      <c r="C22" s="95"/>
      <c r="D22" s="94"/>
      <c r="E22" s="94"/>
      <c r="F22" s="75"/>
    </row>
    <row r="23" spans="1:6" s="80" customFormat="1">
      <c r="A23" s="75"/>
      <c r="B23" s="94"/>
      <c r="C23" s="95"/>
      <c r="D23" s="94"/>
      <c r="E23" s="94"/>
      <c r="F23" s="75"/>
    </row>
    <row r="24" spans="1:6">
      <c r="B24" s="94"/>
      <c r="C24" s="95"/>
      <c r="D24" s="94"/>
      <c r="E24" s="94"/>
    </row>
    <row r="25" spans="1:6">
      <c r="B25" s="94"/>
      <c r="C25" s="95"/>
      <c r="D25" s="94"/>
      <c r="E25" s="94"/>
    </row>
    <row r="26" spans="1:6">
      <c r="B26" s="70"/>
      <c r="C26" s="77"/>
      <c r="D26" s="70"/>
      <c r="E26" s="70"/>
    </row>
    <row r="27" spans="1:6" s="80" customFormat="1" ht="20.100000000000001" customHeight="1">
      <c r="A27" s="75"/>
      <c r="B27" s="125" t="s">
        <v>43</v>
      </c>
      <c r="C27" s="126"/>
      <c r="D27" s="126"/>
      <c r="E27" s="126"/>
      <c r="F27" s="75"/>
    </row>
    <row r="28" spans="1:6" s="80" customFormat="1" ht="5.0999999999999996" customHeight="1">
      <c r="A28" s="75"/>
      <c r="B28" s="78"/>
      <c r="C28" s="79"/>
      <c r="D28" s="79"/>
      <c r="E28" s="79"/>
      <c r="F28" s="75"/>
    </row>
    <row r="29" spans="1:6" s="80" customFormat="1">
      <c r="A29" s="75"/>
      <c r="B29" s="85" t="s">
        <v>44</v>
      </c>
      <c r="C29" s="134" t="s">
        <v>45</v>
      </c>
      <c r="D29" s="134"/>
      <c r="E29" s="134"/>
      <c r="F29" s="75"/>
    </row>
    <row r="30" spans="1:6" s="80" customFormat="1">
      <c r="A30" s="75"/>
      <c r="B30" s="98"/>
      <c r="C30" s="133"/>
      <c r="D30" s="133"/>
      <c r="E30" s="133"/>
      <c r="F30" s="75"/>
    </row>
    <row r="31" spans="1:6" s="80" customFormat="1">
      <c r="A31" s="75"/>
      <c r="B31" s="98"/>
      <c r="C31" s="133"/>
      <c r="D31" s="133"/>
      <c r="E31" s="133"/>
      <c r="F31" s="75"/>
    </row>
    <row r="32" spans="1:6">
      <c r="B32" s="98"/>
      <c r="C32" s="133"/>
      <c r="D32" s="133"/>
      <c r="E32" s="133"/>
    </row>
    <row r="33" spans="2:5">
      <c r="B33" s="98"/>
      <c r="C33" s="133"/>
      <c r="D33" s="133"/>
      <c r="E33" s="133"/>
    </row>
    <row r="34" spans="2:5">
      <c r="B34" s="70"/>
      <c r="C34" s="77"/>
      <c r="D34" s="70"/>
      <c r="E34" s="70"/>
    </row>
    <row r="35" spans="2:5">
      <c r="B35" s="70"/>
      <c r="C35" s="77"/>
      <c r="D35" s="70"/>
      <c r="E35" s="70"/>
    </row>
  </sheetData>
  <mergeCells count="13">
    <mergeCell ref="C33:E33"/>
    <mergeCell ref="B18:E18"/>
    <mergeCell ref="B27:E27"/>
    <mergeCell ref="C29:E29"/>
    <mergeCell ref="C30:E30"/>
    <mergeCell ref="C31:E31"/>
    <mergeCell ref="C32:E32"/>
    <mergeCell ref="B10:E10"/>
    <mergeCell ref="B1:B2"/>
    <mergeCell ref="C1:E1"/>
    <mergeCell ref="C2:E2"/>
    <mergeCell ref="B5:E5"/>
    <mergeCell ref="B7:E7"/>
  </mergeCells>
  <pageMargins left="0.64" right="0.61" top="0.74803149606299213" bottom="0.74803149606299213" header="0.31496062992125984" footer="0.31496062992125984"/>
  <pageSetup paperSize="9"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U50"/>
  <sheetViews>
    <sheetView view="pageBreakPreview" topLeftCell="A7" zoomScaleNormal="80" zoomScaleSheetLayoutView="100" workbookViewId="0">
      <selection activeCell="C11" sqref="C11:I11"/>
    </sheetView>
  </sheetViews>
  <sheetFormatPr defaultColWidth="11.42578125" defaultRowHeight="15"/>
  <cols>
    <col min="1" max="1" width="3.7109375" style="3" customWidth="1"/>
    <col min="2" max="2" width="33.28515625" style="1" customWidth="1"/>
    <col min="3" max="9" width="11.42578125" style="1"/>
    <col min="10" max="11" width="3.7109375" style="7" customWidth="1"/>
    <col min="12" max="21" width="11.42578125" style="7"/>
    <col min="22" max="16384" width="11.42578125" style="1"/>
  </cols>
  <sheetData>
    <row r="1" spans="1:11" ht="24.95" customHeight="1">
      <c r="A1" s="5"/>
      <c r="B1" s="6"/>
      <c r="C1" s="142" t="s">
        <v>33</v>
      </c>
      <c r="D1" s="143"/>
      <c r="E1" s="143"/>
      <c r="F1" s="143"/>
      <c r="G1" s="143"/>
      <c r="H1" s="144"/>
      <c r="I1" s="145" t="s">
        <v>31</v>
      </c>
    </row>
    <row r="2" spans="1:11" ht="24.95" customHeight="1">
      <c r="B2" s="8"/>
      <c r="C2" s="147" t="s">
        <v>46</v>
      </c>
      <c r="D2" s="148"/>
      <c r="E2" s="148"/>
      <c r="F2" s="148"/>
      <c r="G2" s="148"/>
      <c r="H2" s="149"/>
      <c r="I2" s="146"/>
    </row>
    <row r="3" spans="1:11">
      <c r="B3" s="9"/>
      <c r="C3" s="10"/>
      <c r="D3" s="7"/>
      <c r="E3" s="7"/>
      <c r="F3" s="7"/>
      <c r="G3" s="7"/>
      <c r="H3" s="7"/>
      <c r="I3" s="7"/>
    </row>
    <row r="4" spans="1:11">
      <c r="B4" s="11"/>
      <c r="C4" s="12"/>
      <c r="D4" s="2"/>
      <c r="E4" s="2"/>
      <c r="F4" s="2"/>
      <c r="G4" s="2"/>
      <c r="H4" s="2"/>
      <c r="I4" s="2"/>
      <c r="J4" s="2"/>
    </row>
    <row r="5" spans="1:11" s="1" customFormat="1" ht="20.100000000000001" customHeight="1">
      <c r="A5" s="4"/>
      <c r="B5" s="150" t="s">
        <v>22</v>
      </c>
      <c r="C5" s="151"/>
      <c r="D5" s="151"/>
      <c r="E5" s="151"/>
      <c r="F5" s="151"/>
      <c r="G5" s="151"/>
      <c r="H5" s="151"/>
      <c r="I5" s="151"/>
      <c r="J5" s="2"/>
    </row>
    <row r="6" spans="1:11" s="3" customFormat="1">
      <c r="A6" s="4"/>
      <c r="B6" s="13"/>
      <c r="C6" s="14"/>
      <c r="D6" s="14"/>
      <c r="E6" s="14"/>
      <c r="F6" s="2"/>
      <c r="G6" s="2"/>
      <c r="H6" s="2"/>
      <c r="I6" s="2"/>
      <c r="J6" s="4"/>
    </row>
    <row r="7" spans="1:11" s="3" customFormat="1" ht="54" customHeight="1">
      <c r="A7" s="4"/>
      <c r="B7" s="152" t="s">
        <v>47</v>
      </c>
      <c r="C7" s="153"/>
      <c r="D7" s="153"/>
      <c r="E7" s="153"/>
      <c r="F7" s="153"/>
      <c r="G7" s="153"/>
      <c r="H7" s="153"/>
      <c r="I7" s="154"/>
      <c r="J7" s="4"/>
    </row>
    <row r="8" spans="1:11" s="1" customFormat="1" ht="21" customHeight="1">
      <c r="A8" s="4"/>
      <c r="B8" s="27" t="s">
        <v>48</v>
      </c>
      <c r="C8" s="156"/>
      <c r="D8" s="157"/>
      <c r="E8" s="157"/>
      <c r="F8" s="157"/>
      <c r="G8" s="157"/>
      <c r="H8" s="157"/>
      <c r="I8" s="158"/>
      <c r="J8" s="2"/>
    </row>
    <row r="9" spans="1:11" ht="15.75" customHeight="1">
      <c r="B9" s="27" t="s">
        <v>49</v>
      </c>
      <c r="C9" s="155" t="s">
        <v>50</v>
      </c>
      <c r="D9" s="192"/>
      <c r="E9" s="192"/>
      <c r="F9" s="192"/>
      <c r="G9" s="192"/>
      <c r="H9" s="192"/>
      <c r="I9" s="193"/>
      <c r="J9" s="15"/>
      <c r="K9" s="16"/>
    </row>
    <row r="10" spans="1:11" ht="15" customHeight="1">
      <c r="B10" s="100" t="s">
        <v>51</v>
      </c>
      <c r="C10" s="135" t="s">
        <v>52</v>
      </c>
      <c r="D10" s="136"/>
      <c r="E10" s="136"/>
      <c r="F10" s="136"/>
      <c r="G10" s="136"/>
      <c r="H10" s="136"/>
      <c r="I10" s="137"/>
      <c r="J10" s="17"/>
      <c r="K10" s="18"/>
    </row>
    <row r="11" spans="1:11">
      <c r="B11" s="100" t="s">
        <v>53</v>
      </c>
      <c r="C11" s="135" t="s">
        <v>54</v>
      </c>
      <c r="D11" s="136"/>
      <c r="E11" s="136"/>
      <c r="F11" s="136"/>
      <c r="G11" s="136"/>
      <c r="H11" s="136"/>
      <c r="I11" s="137"/>
      <c r="J11" s="2"/>
    </row>
    <row r="12" spans="1:11">
      <c r="B12" s="100" t="s">
        <v>25</v>
      </c>
      <c r="C12" s="135" t="s">
        <v>55</v>
      </c>
      <c r="D12" s="136"/>
      <c r="E12" s="136"/>
      <c r="F12" s="136"/>
      <c r="G12" s="136"/>
      <c r="H12" s="136"/>
      <c r="I12" s="137"/>
      <c r="J12" s="2"/>
    </row>
    <row r="13" spans="1:11">
      <c r="B13" s="100" t="s">
        <v>56</v>
      </c>
      <c r="C13" s="135" t="s">
        <v>57</v>
      </c>
      <c r="D13" s="136"/>
      <c r="E13" s="136"/>
      <c r="F13" s="136"/>
      <c r="G13" s="136"/>
      <c r="H13" s="136"/>
      <c r="I13" s="137"/>
      <c r="J13" s="2"/>
    </row>
    <row r="14" spans="1:11">
      <c r="B14" s="100" t="s">
        <v>58</v>
      </c>
      <c r="C14" s="135" t="s">
        <v>59</v>
      </c>
      <c r="D14" s="136" t="s">
        <v>40</v>
      </c>
      <c r="E14" s="136"/>
      <c r="F14" s="136"/>
      <c r="G14" s="136"/>
      <c r="H14" s="136"/>
      <c r="I14" s="137"/>
      <c r="J14" s="2"/>
    </row>
    <row r="15" spans="1:11">
      <c r="B15" s="100" t="s">
        <v>60</v>
      </c>
      <c r="C15" s="135" t="s">
        <v>61</v>
      </c>
      <c r="D15" s="136"/>
      <c r="E15" s="136"/>
      <c r="F15" s="136"/>
      <c r="G15" s="136"/>
      <c r="H15" s="136"/>
      <c r="I15" s="137"/>
      <c r="J15" s="2"/>
    </row>
    <row r="16" spans="1:11">
      <c r="B16" s="100" t="s">
        <v>62</v>
      </c>
      <c r="C16" s="135" t="s">
        <v>63</v>
      </c>
      <c r="D16" s="136"/>
      <c r="E16" s="136"/>
      <c r="F16" s="136"/>
      <c r="G16" s="136"/>
      <c r="H16" s="136"/>
      <c r="I16" s="137"/>
      <c r="J16" s="2"/>
    </row>
    <row r="17" spans="2:10">
      <c r="B17" s="100" t="s">
        <v>64</v>
      </c>
      <c r="C17" s="135" t="s">
        <v>65</v>
      </c>
      <c r="D17" s="136"/>
      <c r="E17" s="136"/>
      <c r="F17" s="136"/>
      <c r="G17" s="136"/>
      <c r="H17" s="136"/>
      <c r="I17" s="137"/>
      <c r="J17" s="2"/>
    </row>
    <row r="18" spans="2:10" ht="24">
      <c r="B18" s="101" t="s">
        <v>66</v>
      </c>
      <c r="C18" s="135" t="s">
        <v>67</v>
      </c>
      <c r="D18" s="136"/>
      <c r="E18" s="136"/>
      <c r="F18" s="136"/>
      <c r="G18" s="136"/>
      <c r="H18" s="136"/>
      <c r="I18" s="137"/>
      <c r="J18" s="2"/>
    </row>
    <row r="19" spans="2:10" ht="101.25" customHeight="1">
      <c r="B19" s="100" t="s">
        <v>68</v>
      </c>
      <c r="C19" s="138" t="s">
        <v>69</v>
      </c>
      <c r="D19" s="136"/>
      <c r="E19" s="136"/>
      <c r="F19" s="136"/>
      <c r="G19" s="136"/>
      <c r="H19" s="136"/>
      <c r="I19" s="137"/>
      <c r="J19" s="2"/>
    </row>
    <row r="20" spans="2:10">
      <c r="B20" s="100" t="s">
        <v>70</v>
      </c>
      <c r="C20" s="135" t="s">
        <v>71</v>
      </c>
      <c r="D20" s="136"/>
      <c r="E20" s="136"/>
      <c r="F20" s="136"/>
      <c r="G20" s="136"/>
      <c r="H20" s="136"/>
      <c r="I20" s="137"/>
      <c r="J20" s="2"/>
    </row>
    <row r="21" spans="2:10" ht="33.75" customHeight="1">
      <c r="B21" s="100" t="s">
        <v>72</v>
      </c>
      <c r="C21" s="135" t="s">
        <v>73</v>
      </c>
      <c r="D21" s="136"/>
      <c r="E21" s="136"/>
      <c r="F21" s="136"/>
      <c r="G21" s="136"/>
      <c r="H21" s="136"/>
      <c r="I21" s="137"/>
      <c r="J21" s="2"/>
    </row>
    <row r="22" spans="2:10" ht="33.75" customHeight="1">
      <c r="B22" s="100" t="s">
        <v>74</v>
      </c>
      <c r="C22" s="139" t="s">
        <v>75</v>
      </c>
      <c r="D22" s="140"/>
      <c r="E22" s="140"/>
      <c r="F22" s="140"/>
      <c r="G22" s="140"/>
      <c r="H22" s="140"/>
      <c r="I22" s="141"/>
      <c r="J22" s="2"/>
    </row>
    <row r="23" spans="2:10" ht="31.5" customHeight="1">
      <c r="B23" s="100" t="s">
        <v>76</v>
      </c>
      <c r="C23" s="135" t="s">
        <v>77</v>
      </c>
      <c r="D23" s="136" t="s">
        <v>39</v>
      </c>
      <c r="E23" s="136" t="s">
        <v>40</v>
      </c>
      <c r="F23" s="136"/>
      <c r="G23" s="136"/>
      <c r="H23" s="136"/>
      <c r="I23" s="137"/>
      <c r="J23" s="2"/>
    </row>
    <row r="24" spans="2:10" ht="39.75" customHeight="1">
      <c r="B24" s="100" t="s">
        <v>78</v>
      </c>
      <c r="C24" s="138" t="s">
        <v>79</v>
      </c>
      <c r="D24" s="136"/>
      <c r="E24" s="136"/>
      <c r="F24" s="136"/>
      <c r="G24" s="136"/>
      <c r="H24" s="136"/>
      <c r="I24" s="137"/>
      <c r="J24" s="2"/>
    </row>
    <row r="25" spans="2:10" ht="60" customHeight="1">
      <c r="B25" s="100" t="s">
        <v>80</v>
      </c>
      <c r="C25" s="138" t="s">
        <v>81</v>
      </c>
      <c r="D25" s="136"/>
      <c r="E25" s="136"/>
      <c r="F25" s="136"/>
      <c r="G25" s="136"/>
      <c r="H25" s="136"/>
      <c r="I25" s="137"/>
      <c r="J25" s="2"/>
    </row>
    <row r="26" spans="2:10" ht="42.75" customHeight="1">
      <c r="B26" s="102" t="s">
        <v>82</v>
      </c>
      <c r="C26" s="138" t="s">
        <v>83</v>
      </c>
      <c r="D26" s="136"/>
      <c r="E26" s="136"/>
      <c r="F26" s="136"/>
      <c r="G26" s="136"/>
      <c r="H26" s="136"/>
      <c r="I26" s="137"/>
      <c r="J26" s="2"/>
    </row>
    <row r="27" spans="2:10">
      <c r="B27" s="29"/>
      <c r="C27" s="30"/>
      <c r="D27" s="30"/>
      <c r="E27" s="30"/>
      <c r="F27" s="30"/>
      <c r="G27" s="30"/>
      <c r="H27" s="30"/>
      <c r="I27" s="31"/>
      <c r="J27" s="2"/>
    </row>
    <row r="28" spans="2:10">
      <c r="B28" s="19"/>
      <c r="C28" s="2"/>
      <c r="D28" s="2"/>
      <c r="E28" s="2"/>
      <c r="F28" s="2"/>
      <c r="G28" s="2"/>
      <c r="H28" s="2"/>
      <c r="I28" s="20"/>
      <c r="J28" s="2"/>
    </row>
    <row r="29" spans="2:10">
      <c r="B29" s="19"/>
      <c r="C29" s="2"/>
      <c r="D29" s="2"/>
      <c r="E29" s="2"/>
      <c r="F29" s="2"/>
      <c r="G29" s="2"/>
      <c r="H29" s="2"/>
      <c r="I29" s="20"/>
      <c r="J29" s="2"/>
    </row>
    <row r="30" spans="2:10">
      <c r="B30" s="19"/>
      <c r="C30" s="2"/>
      <c r="D30" s="2"/>
      <c r="E30" s="2"/>
      <c r="F30" s="2"/>
      <c r="G30" s="2"/>
      <c r="H30" s="2"/>
      <c r="I30" s="20"/>
      <c r="J30" s="2"/>
    </row>
    <row r="31" spans="2:10">
      <c r="B31" s="19"/>
      <c r="C31" s="2"/>
      <c r="D31" s="2"/>
      <c r="E31" s="2"/>
      <c r="F31" s="2"/>
      <c r="G31" s="2"/>
      <c r="H31" s="2"/>
      <c r="I31" s="20"/>
      <c r="J31" s="2"/>
    </row>
    <row r="32" spans="2:10">
      <c r="B32" s="19"/>
      <c r="C32" s="2"/>
      <c r="D32" s="2"/>
      <c r="E32" s="2"/>
      <c r="F32" s="2"/>
      <c r="G32" s="2"/>
      <c r="H32" s="2"/>
      <c r="I32" s="20"/>
      <c r="J32" s="2"/>
    </row>
    <row r="33" spans="2:10">
      <c r="B33" s="19"/>
      <c r="C33" s="2"/>
      <c r="D33" s="2"/>
      <c r="E33" s="2"/>
      <c r="F33" s="2"/>
      <c r="G33" s="2"/>
      <c r="H33" s="2"/>
      <c r="I33" s="20"/>
      <c r="J33" s="2"/>
    </row>
    <row r="34" spans="2:10">
      <c r="B34" s="19"/>
      <c r="C34" s="2"/>
      <c r="D34" s="2"/>
      <c r="E34" s="2"/>
      <c r="F34" s="2"/>
      <c r="G34" s="2"/>
      <c r="H34" s="2"/>
      <c r="I34" s="20"/>
      <c r="J34" s="2"/>
    </row>
    <row r="35" spans="2:10">
      <c r="B35" s="19"/>
      <c r="C35" s="2"/>
      <c r="D35" s="2"/>
      <c r="E35" s="2"/>
      <c r="F35" s="2"/>
      <c r="G35" s="2"/>
      <c r="H35" s="2"/>
      <c r="I35" s="20"/>
      <c r="J35" s="2"/>
    </row>
    <row r="36" spans="2:10">
      <c r="B36" s="19"/>
      <c r="C36" s="2"/>
      <c r="D36" s="2"/>
      <c r="E36" s="2"/>
      <c r="F36" s="2"/>
      <c r="G36" s="2"/>
      <c r="H36" s="2"/>
      <c r="I36" s="20"/>
      <c r="J36" s="2"/>
    </row>
    <row r="37" spans="2:10">
      <c r="B37" s="19"/>
      <c r="C37" s="2"/>
      <c r="D37" s="2"/>
      <c r="E37" s="2"/>
      <c r="F37" s="2"/>
      <c r="G37" s="2"/>
      <c r="H37" s="2"/>
      <c r="I37" s="20"/>
      <c r="J37" s="2"/>
    </row>
    <row r="38" spans="2:10">
      <c r="B38" s="19"/>
      <c r="C38" s="2"/>
      <c r="D38" s="2"/>
      <c r="E38" s="2"/>
      <c r="F38" s="2"/>
      <c r="G38" s="2"/>
      <c r="H38" s="2"/>
      <c r="I38" s="20"/>
      <c r="J38" s="2"/>
    </row>
    <row r="39" spans="2:10">
      <c r="B39" s="19"/>
      <c r="C39" s="2"/>
      <c r="D39" s="2"/>
      <c r="E39" s="2"/>
      <c r="F39" s="2"/>
      <c r="G39" s="2"/>
      <c r="H39" s="2"/>
      <c r="I39" s="20"/>
      <c r="J39" s="2"/>
    </row>
    <row r="40" spans="2:10">
      <c r="B40" s="19"/>
      <c r="C40" s="2"/>
      <c r="D40" s="2"/>
      <c r="E40" s="2"/>
      <c r="F40" s="2"/>
      <c r="G40" s="2"/>
      <c r="H40" s="2"/>
      <c r="I40" s="20"/>
      <c r="J40" s="2"/>
    </row>
    <row r="41" spans="2:10">
      <c r="B41" s="19"/>
      <c r="C41" s="2"/>
      <c r="D41" s="2"/>
      <c r="E41" s="2"/>
      <c r="F41" s="2"/>
      <c r="G41" s="2"/>
      <c r="H41" s="2"/>
      <c r="I41" s="20"/>
      <c r="J41" s="2"/>
    </row>
    <row r="42" spans="2:10">
      <c r="B42" s="19"/>
      <c r="C42" s="2"/>
      <c r="D42" s="2"/>
      <c r="E42" s="2"/>
      <c r="F42" s="2"/>
      <c r="G42" s="2"/>
      <c r="H42" s="2"/>
      <c r="I42" s="20"/>
      <c r="J42" s="2"/>
    </row>
    <row r="43" spans="2:10">
      <c r="B43" s="21"/>
      <c r="C43" s="12"/>
      <c r="D43" s="2"/>
      <c r="E43" s="2"/>
      <c r="F43" s="2"/>
      <c r="G43" s="2"/>
      <c r="H43" s="2"/>
      <c r="I43" s="20"/>
      <c r="J43" s="2"/>
    </row>
    <row r="44" spans="2:10">
      <c r="B44" s="22"/>
      <c r="C44" s="2"/>
      <c r="D44" s="2"/>
      <c r="E44" s="2"/>
      <c r="F44" s="2"/>
      <c r="G44" s="2"/>
      <c r="H44" s="2"/>
      <c r="I44" s="20"/>
      <c r="J44" s="2"/>
    </row>
    <row r="45" spans="2:10">
      <c r="B45" s="22"/>
      <c r="C45" s="2"/>
      <c r="D45" s="2"/>
      <c r="E45" s="2"/>
      <c r="F45" s="2"/>
      <c r="G45" s="2"/>
      <c r="H45" s="2"/>
      <c r="I45" s="20"/>
      <c r="J45" s="2"/>
    </row>
    <row r="46" spans="2:10">
      <c r="B46" s="22"/>
      <c r="C46" s="2"/>
      <c r="D46" s="2"/>
      <c r="E46" s="2"/>
      <c r="F46" s="2"/>
      <c r="G46" s="2"/>
      <c r="H46" s="2"/>
      <c r="I46" s="20"/>
      <c r="J46" s="2"/>
    </row>
    <row r="47" spans="2:10">
      <c r="B47" s="22"/>
      <c r="C47" s="2"/>
      <c r="D47" s="2"/>
      <c r="E47" s="2"/>
      <c r="F47" s="2"/>
      <c r="G47" s="2"/>
      <c r="H47" s="2"/>
      <c r="I47" s="20"/>
      <c r="J47" s="2"/>
    </row>
    <row r="48" spans="2:10">
      <c r="B48" s="23"/>
      <c r="C48" s="24"/>
      <c r="D48" s="24"/>
      <c r="E48" s="24"/>
      <c r="F48" s="24"/>
      <c r="G48" s="24"/>
      <c r="H48" s="24"/>
      <c r="I48" s="25"/>
      <c r="J48" s="2"/>
    </row>
    <row r="49" spans="2:10">
      <c r="B49" s="28"/>
      <c r="C49" s="2"/>
      <c r="D49" s="2"/>
      <c r="E49" s="2"/>
      <c r="F49" s="2"/>
      <c r="G49" s="2"/>
      <c r="H49" s="2"/>
      <c r="I49" s="2"/>
      <c r="J49" s="2"/>
    </row>
    <row r="50" spans="2:10">
      <c r="B50" s="9"/>
      <c r="C50" s="26"/>
      <c r="D50" s="7"/>
      <c r="E50" s="7"/>
      <c r="F50" s="7"/>
      <c r="G50" s="7"/>
      <c r="H50" s="7"/>
      <c r="I50" s="7"/>
    </row>
  </sheetData>
  <mergeCells count="24">
    <mergeCell ref="C15:I15"/>
    <mergeCell ref="C1:H1"/>
    <mergeCell ref="I1:I2"/>
    <mergeCell ref="C2:H2"/>
    <mergeCell ref="B5:I5"/>
    <mergeCell ref="B7:I7"/>
    <mergeCell ref="C9:I9"/>
    <mergeCell ref="C10:I10"/>
    <mergeCell ref="C11:I11"/>
    <mergeCell ref="C12:I12"/>
    <mergeCell ref="C13:I13"/>
    <mergeCell ref="C14:I14"/>
    <mergeCell ref="C8:I8"/>
    <mergeCell ref="C23:I23"/>
    <mergeCell ref="C24:I24"/>
    <mergeCell ref="C25:I25"/>
    <mergeCell ref="C26:I26"/>
    <mergeCell ref="C16:I16"/>
    <mergeCell ref="C17:I17"/>
    <mergeCell ref="C18:I18"/>
    <mergeCell ref="C19:I19"/>
    <mergeCell ref="C20:I20"/>
    <mergeCell ref="C21:I21"/>
    <mergeCell ref="C22:I22"/>
  </mergeCells>
  <pageMargins left="0.51181102362204722" right="0.43" top="0.74803149606299213" bottom="0.19" header="0.31496062992125984" footer="0.31496062992125984"/>
  <pageSetup paperSize="9" scale="76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>
    <pageSetUpPr fitToPage="1"/>
  </sheetPr>
  <dimension ref="A1:IY379"/>
  <sheetViews>
    <sheetView tabSelected="1" zoomScale="85" zoomScaleNormal="85" workbookViewId="0">
      <pane ySplit="6" topLeftCell="A40" activePane="bottomLeft" state="frozen"/>
      <selection pane="bottomLeft" activeCell="F189" sqref="F189"/>
      <selection activeCell="C1" sqref="C1"/>
    </sheetView>
  </sheetViews>
  <sheetFormatPr defaultColWidth="11.42578125" defaultRowHeight="12.75"/>
  <cols>
    <col min="1" max="1" width="26.85546875" style="33" customWidth="1"/>
    <col min="2" max="2" width="23.42578125" style="33" customWidth="1"/>
    <col min="3" max="3" width="13.28515625" style="33" bestFit="1" customWidth="1"/>
    <col min="4" max="4" width="10" style="33" bestFit="1" customWidth="1"/>
    <col min="5" max="5" width="10.28515625" style="33" customWidth="1"/>
    <col min="6" max="6" width="19" style="33" customWidth="1"/>
    <col min="7" max="7" width="38.7109375" style="33" customWidth="1"/>
    <col min="8" max="8" width="28.85546875" style="33" customWidth="1"/>
    <col min="9" max="9" width="33" style="33" customWidth="1"/>
    <col min="10" max="12" width="38.42578125" style="33" customWidth="1"/>
    <col min="13" max="13" width="25.7109375" style="33" customWidth="1"/>
    <col min="14" max="14" width="11.85546875" style="33" customWidth="1"/>
    <col min="15" max="15" width="12.28515625" style="38" customWidth="1"/>
    <col min="16" max="16" width="12.5703125" style="38" customWidth="1"/>
    <col min="17" max="17" width="12.42578125" style="52" customWidth="1"/>
    <col min="18" max="18" width="13.5703125" style="52" customWidth="1"/>
    <col min="19" max="19" width="21.28515625" style="33" customWidth="1"/>
    <col min="20" max="20" width="30.42578125" style="33" customWidth="1"/>
    <col min="21" max="16384" width="11.42578125" style="33"/>
  </cols>
  <sheetData>
    <row r="1" spans="1:259" ht="69.75" customHeight="1" thickBot="1">
      <c r="A1" s="32"/>
      <c r="B1" s="171" t="s">
        <v>84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3"/>
    </row>
    <row r="2" spans="1:259" ht="13.5" thickBot="1">
      <c r="A2" s="34" t="s">
        <v>51</v>
      </c>
      <c r="B2" s="174" t="str">
        <f>'Page de garde'!D38</f>
        <v>code-projet</v>
      </c>
      <c r="C2" s="175"/>
      <c r="D2" s="175"/>
      <c r="E2" s="175"/>
      <c r="F2" s="175"/>
      <c r="G2" s="175"/>
      <c r="H2" s="175"/>
      <c r="I2" s="176"/>
      <c r="J2" s="34" t="s">
        <v>24</v>
      </c>
      <c r="K2" s="177" t="s">
        <v>85</v>
      </c>
      <c r="L2" s="178"/>
      <c r="M2" s="178"/>
      <c r="N2" s="178"/>
      <c r="O2" s="178"/>
      <c r="P2" s="178"/>
      <c r="Q2" s="178"/>
      <c r="R2" s="178"/>
      <c r="S2" s="178"/>
      <c r="T2" s="179"/>
    </row>
    <row r="3" spans="1:259" ht="13.5" thickBot="1">
      <c r="A3" s="34" t="s">
        <v>86</v>
      </c>
      <c r="B3" s="174" t="str">
        <f>'Page de garde'!D36</f>
        <v>Nom projet</v>
      </c>
      <c r="C3" s="175"/>
      <c r="D3" s="175"/>
      <c r="E3" s="175"/>
      <c r="F3" s="175"/>
      <c r="G3" s="175"/>
      <c r="H3" s="175"/>
      <c r="I3" s="176"/>
      <c r="J3" s="180" t="s">
        <v>87</v>
      </c>
      <c r="K3" s="182"/>
      <c r="L3" s="183"/>
      <c r="M3" s="183"/>
      <c r="N3" s="183"/>
      <c r="O3" s="183"/>
      <c r="P3" s="183"/>
      <c r="Q3" s="183"/>
      <c r="R3" s="183"/>
      <c r="S3" s="183"/>
      <c r="T3" s="184"/>
    </row>
    <row r="4" spans="1:259" ht="13.5" thickBot="1">
      <c r="A4" s="34" t="s">
        <v>88</v>
      </c>
      <c r="B4" s="177"/>
      <c r="C4" s="178"/>
      <c r="D4" s="178"/>
      <c r="E4" s="179"/>
      <c r="F4" s="35"/>
      <c r="G4" s="34" t="s">
        <v>27</v>
      </c>
      <c r="H4" s="177"/>
      <c r="I4" s="179"/>
      <c r="J4" s="181"/>
      <c r="K4" s="185"/>
      <c r="L4" s="186"/>
      <c r="M4" s="186"/>
      <c r="N4" s="186"/>
      <c r="O4" s="186"/>
      <c r="P4" s="186"/>
      <c r="Q4" s="186"/>
      <c r="R4" s="186"/>
      <c r="S4" s="186"/>
      <c r="T4" s="187"/>
    </row>
    <row r="5" spans="1:259" ht="3" customHeight="1" thickBot="1">
      <c r="A5" s="161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3"/>
    </row>
    <row r="6" spans="1:259" s="38" customFormat="1" ht="32.25" thickBot="1">
      <c r="A6" s="164" t="s">
        <v>89</v>
      </c>
      <c r="B6" s="166" t="s">
        <v>90</v>
      </c>
      <c r="C6" s="166" t="s">
        <v>91</v>
      </c>
      <c r="D6" s="36" t="s">
        <v>92</v>
      </c>
      <c r="E6" s="168" t="s">
        <v>93</v>
      </c>
      <c r="F6" s="164" t="s">
        <v>64</v>
      </c>
      <c r="G6" s="164" t="s">
        <v>94</v>
      </c>
      <c r="H6" s="164" t="s">
        <v>95</v>
      </c>
      <c r="I6" s="164" t="s">
        <v>96</v>
      </c>
      <c r="J6" s="164" t="s">
        <v>97</v>
      </c>
      <c r="K6" s="164" t="s">
        <v>98</v>
      </c>
      <c r="L6" s="164" t="s">
        <v>99</v>
      </c>
      <c r="M6" s="164" t="s">
        <v>100</v>
      </c>
      <c r="N6" s="188" t="s">
        <v>101</v>
      </c>
      <c r="O6" s="189"/>
      <c r="P6" s="188" t="s">
        <v>102</v>
      </c>
      <c r="Q6" s="189"/>
      <c r="R6" s="37" t="s">
        <v>80</v>
      </c>
      <c r="S6" s="159" t="s">
        <v>103</v>
      </c>
      <c r="T6" s="159" t="s">
        <v>104</v>
      </c>
    </row>
    <row r="7" spans="1:259" s="42" customFormat="1" ht="39" thickBot="1">
      <c r="A7" s="165"/>
      <c r="B7" s="167"/>
      <c r="C7" s="167"/>
      <c r="D7" s="39"/>
      <c r="E7" s="169"/>
      <c r="F7" s="170"/>
      <c r="G7" s="170"/>
      <c r="H7" s="170"/>
      <c r="I7" s="170"/>
      <c r="J7" s="170"/>
      <c r="K7" s="170"/>
      <c r="L7" s="170"/>
      <c r="M7" s="170"/>
      <c r="N7" s="40" t="s">
        <v>105</v>
      </c>
      <c r="O7" s="40" t="s">
        <v>106</v>
      </c>
      <c r="P7" s="40" t="s">
        <v>107</v>
      </c>
      <c r="Q7" s="40" t="s">
        <v>108</v>
      </c>
      <c r="R7" s="41"/>
      <c r="S7" s="160"/>
      <c r="T7" s="160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  <c r="IL7" s="33"/>
      <c r="IM7" s="33"/>
      <c r="IN7" s="33"/>
      <c r="IO7" s="33"/>
      <c r="IP7" s="33"/>
      <c r="IQ7" s="33"/>
      <c r="IR7" s="33"/>
      <c r="IS7" s="33"/>
      <c r="IT7" s="33"/>
      <c r="IU7" s="33"/>
      <c r="IV7" s="33"/>
      <c r="IW7" s="33"/>
      <c r="IX7" s="33"/>
      <c r="IY7" s="33"/>
    </row>
    <row r="8" spans="1:259" ht="26.25" thickBot="1">
      <c r="A8" s="104" t="s">
        <v>109</v>
      </c>
      <c r="B8" s="44" t="s">
        <v>110</v>
      </c>
      <c r="C8" s="44" t="s">
        <v>111</v>
      </c>
      <c r="D8" s="45"/>
      <c r="E8" s="103" t="s">
        <v>112</v>
      </c>
      <c r="F8" s="45"/>
      <c r="G8" s="45" t="s">
        <v>113</v>
      </c>
      <c r="H8" s="45" t="s">
        <v>114</v>
      </c>
      <c r="I8" s="45"/>
      <c r="J8" s="44"/>
      <c r="K8" s="44"/>
      <c r="L8" s="44"/>
      <c r="M8" s="44"/>
      <c r="N8" s="44"/>
      <c r="O8" s="44"/>
      <c r="P8" s="44"/>
      <c r="Q8" s="44"/>
      <c r="R8" s="44" t="s">
        <v>115</v>
      </c>
      <c r="S8" s="46"/>
      <c r="T8" s="44"/>
    </row>
    <row r="9" spans="1:259" ht="26.25" thickBot="1">
      <c r="A9" s="104" t="s">
        <v>109</v>
      </c>
      <c r="B9" s="44" t="s">
        <v>110</v>
      </c>
      <c r="C9" s="44" t="s">
        <v>111</v>
      </c>
      <c r="D9" s="45"/>
      <c r="E9" s="103" t="s">
        <v>116</v>
      </c>
      <c r="F9" s="45"/>
      <c r="G9" s="45" t="s">
        <v>117</v>
      </c>
      <c r="H9" s="45" t="s">
        <v>114</v>
      </c>
      <c r="I9" s="45"/>
      <c r="J9" s="44"/>
      <c r="K9" s="44"/>
      <c r="L9" s="44"/>
      <c r="M9" s="44"/>
      <c r="N9" s="44"/>
      <c r="O9" s="44"/>
      <c r="P9" s="44"/>
      <c r="Q9" s="44"/>
      <c r="R9" s="44" t="s">
        <v>115</v>
      </c>
      <c r="S9" s="46"/>
      <c r="T9" s="44"/>
    </row>
    <row r="10" spans="1:259" ht="26.25" thickBot="1">
      <c r="A10" s="104" t="s">
        <v>109</v>
      </c>
      <c r="B10" s="44" t="s">
        <v>110</v>
      </c>
      <c r="C10" s="44" t="s">
        <v>111</v>
      </c>
      <c r="D10" s="45"/>
      <c r="E10" s="103" t="s">
        <v>118</v>
      </c>
      <c r="F10" s="45"/>
      <c r="G10" s="45" t="s">
        <v>119</v>
      </c>
      <c r="H10" s="45" t="s">
        <v>114</v>
      </c>
      <c r="I10" s="45"/>
      <c r="J10" s="44"/>
      <c r="K10" s="44"/>
      <c r="L10" s="44"/>
      <c r="M10" s="44"/>
      <c r="N10" s="44"/>
      <c r="O10" s="44"/>
      <c r="P10" s="44"/>
      <c r="Q10" s="44"/>
      <c r="R10" s="44" t="s">
        <v>115</v>
      </c>
      <c r="S10" s="46"/>
      <c r="T10" s="44"/>
    </row>
    <row r="11" spans="1:259" ht="26.25" thickBot="1">
      <c r="A11" s="104" t="s">
        <v>109</v>
      </c>
      <c r="B11" s="44" t="s">
        <v>110</v>
      </c>
      <c r="C11" s="44" t="s">
        <v>111</v>
      </c>
      <c r="D11" s="45"/>
      <c r="E11" s="103" t="s">
        <v>120</v>
      </c>
      <c r="F11" s="45"/>
      <c r="G11" s="45" t="s">
        <v>121</v>
      </c>
      <c r="H11" s="45" t="s">
        <v>114</v>
      </c>
      <c r="I11" s="45"/>
      <c r="J11" s="44"/>
      <c r="K11" s="44"/>
      <c r="L11" s="44"/>
      <c r="M11" s="44"/>
      <c r="N11" s="44"/>
      <c r="O11" s="44"/>
      <c r="P11" s="44"/>
      <c r="Q11" s="44"/>
      <c r="R11" s="44" t="s">
        <v>115</v>
      </c>
      <c r="S11" s="46"/>
      <c r="T11" s="44"/>
    </row>
    <row r="12" spans="1:259" ht="26.25" thickBot="1">
      <c r="A12" s="104" t="s">
        <v>109</v>
      </c>
      <c r="B12" s="44" t="s">
        <v>110</v>
      </c>
      <c r="C12" s="44" t="s">
        <v>111</v>
      </c>
      <c r="D12" s="45"/>
      <c r="E12" s="103" t="s">
        <v>122</v>
      </c>
      <c r="F12" s="45"/>
      <c r="G12" s="45" t="s">
        <v>123</v>
      </c>
      <c r="H12" s="45" t="s">
        <v>114</v>
      </c>
      <c r="I12" s="45"/>
      <c r="J12" s="44"/>
      <c r="K12" s="44"/>
      <c r="L12" s="44"/>
      <c r="M12" s="44"/>
      <c r="N12" s="44"/>
      <c r="O12" s="44"/>
      <c r="P12" s="44"/>
      <c r="Q12" s="44"/>
      <c r="R12" s="44"/>
      <c r="S12" s="46"/>
      <c r="T12" s="44"/>
    </row>
    <row r="13" spans="1:259" ht="33" customHeight="1" thickBot="1">
      <c r="A13" s="104" t="s">
        <v>109</v>
      </c>
      <c r="B13" s="44" t="s">
        <v>110</v>
      </c>
      <c r="C13" s="44" t="s">
        <v>111</v>
      </c>
      <c r="D13" s="45"/>
      <c r="E13" s="103" t="s">
        <v>124</v>
      </c>
      <c r="F13" s="45"/>
      <c r="G13" s="45" t="s">
        <v>125</v>
      </c>
      <c r="H13" s="45" t="s">
        <v>114</v>
      </c>
      <c r="I13" s="45"/>
      <c r="J13" s="44"/>
      <c r="K13" s="44"/>
      <c r="L13" s="44"/>
      <c r="M13" s="44"/>
      <c r="N13" s="44"/>
      <c r="O13" s="44"/>
      <c r="P13" s="44"/>
      <c r="Q13" s="44"/>
      <c r="R13" s="44"/>
      <c r="S13" s="46"/>
      <c r="T13" s="44"/>
    </row>
    <row r="14" spans="1:259" ht="36.75" customHeight="1" thickBot="1">
      <c r="A14" s="104" t="s">
        <v>109</v>
      </c>
      <c r="B14" s="44" t="s">
        <v>110</v>
      </c>
      <c r="C14" s="44" t="s">
        <v>111</v>
      </c>
      <c r="D14" s="45"/>
      <c r="E14" s="103" t="s">
        <v>126</v>
      </c>
      <c r="F14" s="45"/>
      <c r="G14" s="45" t="s">
        <v>127</v>
      </c>
      <c r="H14" s="45" t="s">
        <v>114</v>
      </c>
      <c r="I14" s="45"/>
      <c r="J14" s="44"/>
      <c r="K14" s="44"/>
      <c r="L14" s="44"/>
      <c r="M14" s="44"/>
      <c r="N14" s="44"/>
      <c r="O14" s="44"/>
      <c r="P14" s="44"/>
      <c r="Q14" s="44"/>
      <c r="R14" s="44"/>
      <c r="S14" s="46"/>
      <c r="T14" s="44"/>
    </row>
    <row r="15" spans="1:259" ht="36.75" customHeight="1" thickBot="1">
      <c r="A15" s="104" t="s">
        <v>109</v>
      </c>
      <c r="B15" s="44" t="s">
        <v>128</v>
      </c>
      <c r="C15" s="44" t="s">
        <v>111</v>
      </c>
      <c r="D15" s="45"/>
      <c r="E15" s="103" t="s">
        <v>129</v>
      </c>
      <c r="F15" s="45"/>
      <c r="G15" s="45" t="s">
        <v>130</v>
      </c>
      <c r="H15" s="45" t="s">
        <v>114</v>
      </c>
      <c r="I15" s="45"/>
      <c r="J15" s="44"/>
      <c r="K15" s="44"/>
      <c r="L15" s="44"/>
      <c r="M15" s="44"/>
      <c r="N15" s="44"/>
      <c r="O15" s="44"/>
      <c r="P15" s="44"/>
      <c r="Q15" s="44"/>
      <c r="R15" s="44"/>
      <c r="S15" s="46"/>
      <c r="T15" s="44"/>
    </row>
    <row r="16" spans="1:259" ht="36.75" customHeight="1" thickBot="1">
      <c r="A16" s="104" t="s">
        <v>109</v>
      </c>
      <c r="B16" s="44" t="s">
        <v>128</v>
      </c>
      <c r="C16" s="44" t="s">
        <v>111</v>
      </c>
      <c r="D16" s="45"/>
      <c r="E16" s="103" t="s">
        <v>131</v>
      </c>
      <c r="F16" s="45"/>
      <c r="G16" s="45" t="s">
        <v>132</v>
      </c>
      <c r="H16" s="45" t="s">
        <v>114</v>
      </c>
      <c r="I16" s="45"/>
      <c r="J16" s="44"/>
      <c r="K16" s="44"/>
      <c r="L16" s="44"/>
      <c r="M16" s="44"/>
      <c r="N16" s="44"/>
      <c r="O16" s="44"/>
      <c r="P16" s="44"/>
      <c r="Q16" s="44"/>
      <c r="R16" s="44"/>
      <c r="S16" s="46"/>
      <c r="T16" s="44"/>
    </row>
    <row r="17" spans="1:20" ht="36.75" customHeight="1" thickBot="1">
      <c r="A17" s="104" t="s">
        <v>109</v>
      </c>
      <c r="B17" s="44" t="s">
        <v>128</v>
      </c>
      <c r="C17" s="44" t="s">
        <v>111</v>
      </c>
      <c r="D17" s="45"/>
      <c r="E17" s="103" t="s">
        <v>133</v>
      </c>
      <c r="F17" s="45"/>
      <c r="G17" s="45" t="s">
        <v>134</v>
      </c>
      <c r="H17" s="45" t="s">
        <v>114</v>
      </c>
      <c r="I17" s="45"/>
      <c r="J17" s="44"/>
      <c r="K17" s="44"/>
      <c r="L17" s="44"/>
      <c r="M17" s="44"/>
      <c r="N17" s="44"/>
      <c r="O17" s="44"/>
      <c r="P17" s="44"/>
      <c r="Q17" s="44"/>
      <c r="R17" s="44"/>
      <c r="S17" s="46"/>
      <c r="T17" s="44"/>
    </row>
    <row r="18" spans="1:20" ht="36.75" customHeight="1" thickBot="1">
      <c r="A18" s="104" t="s">
        <v>109</v>
      </c>
      <c r="B18" s="44" t="s">
        <v>128</v>
      </c>
      <c r="C18" s="44" t="s">
        <v>111</v>
      </c>
      <c r="D18" s="45"/>
      <c r="E18" s="103" t="s">
        <v>135</v>
      </c>
      <c r="F18" s="45"/>
      <c r="G18" s="45" t="s">
        <v>136</v>
      </c>
      <c r="H18" s="45" t="s">
        <v>114</v>
      </c>
      <c r="I18" s="45"/>
      <c r="J18" s="44"/>
      <c r="K18" s="44"/>
      <c r="L18" s="44"/>
      <c r="M18" s="44"/>
      <c r="N18" s="44"/>
      <c r="O18" s="44"/>
      <c r="P18" s="44"/>
      <c r="Q18" s="44"/>
      <c r="R18" s="44"/>
      <c r="S18" s="46"/>
      <c r="T18" s="44"/>
    </row>
    <row r="19" spans="1:20" ht="26.25" thickBot="1">
      <c r="A19" s="104" t="s">
        <v>109</v>
      </c>
      <c r="B19" s="44" t="s">
        <v>137</v>
      </c>
      <c r="C19" s="44" t="s">
        <v>138</v>
      </c>
      <c r="D19" s="45"/>
      <c r="E19" s="103" t="s">
        <v>139</v>
      </c>
      <c r="F19" s="45"/>
      <c r="G19" s="45" t="s">
        <v>140</v>
      </c>
      <c r="H19" s="45" t="s">
        <v>114</v>
      </c>
      <c r="I19" s="45"/>
      <c r="J19" s="44"/>
      <c r="K19" s="44"/>
      <c r="L19" s="44"/>
      <c r="M19" s="44"/>
      <c r="N19" s="44"/>
      <c r="O19" s="44"/>
      <c r="P19" s="44"/>
      <c r="Q19" s="44"/>
      <c r="R19" s="44"/>
      <c r="S19" s="46"/>
      <c r="T19" s="44"/>
    </row>
    <row r="20" spans="1:20" ht="26.25" thickBot="1">
      <c r="A20" s="104" t="s">
        <v>109</v>
      </c>
      <c r="B20" s="44" t="s">
        <v>137</v>
      </c>
      <c r="C20" s="44" t="s">
        <v>138</v>
      </c>
      <c r="D20" s="45"/>
      <c r="E20" s="103" t="s">
        <v>141</v>
      </c>
      <c r="F20" s="45"/>
      <c r="G20" s="45" t="s">
        <v>142</v>
      </c>
      <c r="H20" s="45" t="s">
        <v>114</v>
      </c>
      <c r="I20" s="45"/>
      <c r="J20" s="44"/>
      <c r="K20" s="44"/>
      <c r="L20" s="44"/>
      <c r="M20" s="44"/>
      <c r="N20" s="44"/>
      <c r="O20" s="44"/>
      <c r="P20" s="44"/>
      <c r="Q20" s="44"/>
      <c r="R20" s="44"/>
      <c r="S20" s="46"/>
      <c r="T20" s="44"/>
    </row>
    <row r="21" spans="1:20" ht="26.25" thickBot="1">
      <c r="A21" s="104" t="s">
        <v>109</v>
      </c>
      <c r="B21" s="44" t="s">
        <v>137</v>
      </c>
      <c r="C21" s="44" t="s">
        <v>138</v>
      </c>
      <c r="D21" s="44"/>
      <c r="E21" s="103" t="s">
        <v>143</v>
      </c>
      <c r="F21" s="44"/>
      <c r="G21" s="44" t="s">
        <v>144</v>
      </c>
      <c r="H21" s="45" t="s">
        <v>114</v>
      </c>
      <c r="I21" s="45"/>
      <c r="J21" s="44"/>
      <c r="K21" s="44"/>
      <c r="L21" s="44"/>
      <c r="M21" s="44"/>
      <c r="N21" s="44"/>
      <c r="O21" s="44"/>
      <c r="P21" s="44"/>
      <c r="Q21" s="44"/>
      <c r="R21" s="44"/>
      <c r="S21" s="46"/>
      <c r="T21" s="44"/>
    </row>
    <row r="22" spans="1:20" ht="26.25" thickBot="1">
      <c r="A22" s="104" t="s">
        <v>109</v>
      </c>
      <c r="B22" s="44" t="s">
        <v>137</v>
      </c>
      <c r="C22" s="44" t="s">
        <v>138</v>
      </c>
      <c r="D22" s="44"/>
      <c r="E22" s="103" t="s">
        <v>145</v>
      </c>
      <c r="F22" s="44"/>
      <c r="G22" s="44" t="s">
        <v>146</v>
      </c>
      <c r="H22" s="45" t="s">
        <v>114</v>
      </c>
      <c r="I22" s="45"/>
      <c r="J22" s="44"/>
      <c r="K22" s="44"/>
      <c r="L22" s="44"/>
      <c r="M22" s="44"/>
      <c r="N22" s="44"/>
      <c r="O22" s="44"/>
      <c r="P22" s="44"/>
      <c r="Q22" s="44"/>
      <c r="R22" s="44"/>
      <c r="S22" s="46"/>
      <c r="T22" s="44"/>
    </row>
    <row r="23" spans="1:20" ht="26.25" thickBot="1">
      <c r="A23" s="104" t="s">
        <v>109</v>
      </c>
      <c r="B23" s="44" t="s">
        <v>147</v>
      </c>
      <c r="C23" s="44" t="s">
        <v>148</v>
      </c>
      <c r="D23" s="44"/>
      <c r="E23" s="103" t="s">
        <v>149</v>
      </c>
      <c r="F23" s="44"/>
      <c r="G23" s="44" t="s">
        <v>150</v>
      </c>
      <c r="H23" s="45" t="s">
        <v>114</v>
      </c>
      <c r="I23" s="45"/>
      <c r="J23" s="44"/>
      <c r="K23" s="44"/>
      <c r="L23" s="44"/>
      <c r="M23" s="44"/>
      <c r="N23" s="44"/>
      <c r="O23" s="44"/>
      <c r="P23" s="44"/>
      <c r="Q23" s="44"/>
      <c r="R23" s="44"/>
      <c r="S23" s="46"/>
      <c r="T23" s="44"/>
    </row>
    <row r="24" spans="1:20" ht="26.25" thickBot="1">
      <c r="A24" s="104" t="s">
        <v>109</v>
      </c>
      <c r="B24" s="44" t="s">
        <v>147</v>
      </c>
      <c r="C24" s="44" t="s">
        <v>148</v>
      </c>
      <c r="D24" s="44"/>
      <c r="E24" s="103" t="s">
        <v>151</v>
      </c>
      <c r="F24" s="44"/>
      <c r="G24" s="44" t="s">
        <v>152</v>
      </c>
      <c r="H24" s="45" t="s">
        <v>114</v>
      </c>
      <c r="I24" s="45"/>
      <c r="J24" s="44"/>
      <c r="K24" s="44"/>
      <c r="L24" s="44"/>
      <c r="M24" s="44"/>
      <c r="N24" s="44"/>
      <c r="O24" s="44"/>
      <c r="P24" s="44"/>
      <c r="Q24" s="44"/>
      <c r="R24" s="44"/>
      <c r="S24" s="46"/>
      <c r="T24" s="44"/>
    </row>
    <row r="25" spans="1:20" ht="26.25" thickBot="1">
      <c r="A25" s="104" t="s">
        <v>109</v>
      </c>
      <c r="B25" s="44" t="s">
        <v>147</v>
      </c>
      <c r="C25" s="44" t="s">
        <v>148</v>
      </c>
      <c r="D25" s="44"/>
      <c r="E25" s="103" t="s">
        <v>153</v>
      </c>
      <c r="F25" s="44"/>
      <c r="G25" s="44" t="s">
        <v>154</v>
      </c>
      <c r="H25" s="45" t="s">
        <v>114</v>
      </c>
      <c r="I25" s="45"/>
      <c r="J25" s="44"/>
      <c r="K25" s="44"/>
      <c r="L25" s="44"/>
      <c r="M25" s="44"/>
      <c r="N25" s="44"/>
      <c r="O25" s="44"/>
      <c r="P25" s="44"/>
      <c r="Q25" s="44"/>
      <c r="R25" s="44"/>
      <c r="S25" s="46"/>
      <c r="T25" s="44"/>
    </row>
    <row r="26" spans="1:20" ht="26.25" thickBot="1">
      <c r="A26" s="104" t="s">
        <v>109</v>
      </c>
      <c r="B26" s="44" t="s">
        <v>147</v>
      </c>
      <c r="C26" s="44" t="s">
        <v>148</v>
      </c>
      <c r="D26" s="44"/>
      <c r="E26" s="103" t="s">
        <v>155</v>
      </c>
      <c r="F26" s="44"/>
      <c r="G26" s="44" t="s">
        <v>156</v>
      </c>
      <c r="H26" s="45" t="s">
        <v>114</v>
      </c>
      <c r="I26" s="45"/>
      <c r="J26" s="44"/>
      <c r="K26" s="44"/>
      <c r="L26" s="44"/>
      <c r="M26" s="44"/>
      <c r="N26" s="44"/>
      <c r="O26" s="44"/>
      <c r="P26" s="44"/>
      <c r="Q26" s="44"/>
      <c r="R26" s="44"/>
      <c r="S26" s="46"/>
      <c r="T26" s="44"/>
    </row>
    <row r="27" spans="1:20" ht="26.25" thickBot="1">
      <c r="A27" s="104" t="s">
        <v>109</v>
      </c>
      <c r="B27" s="44" t="s">
        <v>147</v>
      </c>
      <c r="C27" s="44" t="s">
        <v>148</v>
      </c>
      <c r="D27" s="44"/>
      <c r="E27" s="103" t="s">
        <v>157</v>
      </c>
      <c r="F27" s="44"/>
      <c r="G27" s="44" t="s">
        <v>158</v>
      </c>
      <c r="H27" s="45" t="s">
        <v>114</v>
      </c>
      <c r="I27" s="45"/>
      <c r="J27" s="44"/>
      <c r="K27" s="44"/>
      <c r="L27" s="44"/>
      <c r="M27" s="44"/>
      <c r="N27" s="44"/>
      <c r="O27" s="44"/>
      <c r="P27" s="44"/>
      <c r="Q27" s="44"/>
      <c r="R27" s="44"/>
      <c r="S27" s="46"/>
      <c r="T27" s="44"/>
    </row>
    <row r="28" spans="1:20" ht="39" thickBot="1">
      <c r="A28" s="104" t="s">
        <v>109</v>
      </c>
      <c r="B28" s="44" t="s">
        <v>159</v>
      </c>
      <c r="C28" s="44" t="s">
        <v>160</v>
      </c>
      <c r="D28" s="44"/>
      <c r="E28" s="103" t="s">
        <v>161</v>
      </c>
      <c r="F28" s="44"/>
      <c r="G28" s="44" t="s">
        <v>162</v>
      </c>
      <c r="H28" s="45" t="s">
        <v>114</v>
      </c>
      <c r="I28" s="45"/>
      <c r="J28" s="44"/>
      <c r="K28" s="44"/>
      <c r="L28" s="44"/>
      <c r="M28" s="44"/>
      <c r="N28" s="44"/>
      <c r="O28" s="44"/>
      <c r="P28" s="44"/>
      <c r="Q28" s="44"/>
      <c r="R28" s="44"/>
      <c r="S28" s="46"/>
      <c r="T28" s="44"/>
    </row>
    <row r="29" spans="1:20" ht="39" thickBot="1">
      <c r="A29" s="104" t="s">
        <v>109</v>
      </c>
      <c r="B29" s="44" t="s">
        <v>159</v>
      </c>
      <c r="C29" s="44" t="s">
        <v>160</v>
      </c>
      <c r="D29" s="44"/>
      <c r="E29" s="103" t="s">
        <v>163</v>
      </c>
      <c r="F29" s="44"/>
      <c r="G29" s="44" t="s">
        <v>164</v>
      </c>
      <c r="H29" s="45" t="s">
        <v>114</v>
      </c>
      <c r="I29" s="45"/>
      <c r="J29" s="44"/>
      <c r="K29" s="44"/>
      <c r="L29" s="44"/>
      <c r="M29" s="44"/>
      <c r="N29" s="44"/>
      <c r="O29" s="44"/>
      <c r="P29" s="44"/>
      <c r="Q29" s="44"/>
      <c r="R29" s="44"/>
      <c r="S29" s="46"/>
      <c r="T29" s="44"/>
    </row>
    <row r="30" spans="1:20" ht="26.25" thickBot="1">
      <c r="A30" s="104" t="s">
        <v>109</v>
      </c>
      <c r="B30" s="44" t="s">
        <v>165</v>
      </c>
      <c r="C30" s="44" t="s">
        <v>166</v>
      </c>
      <c r="D30" s="45"/>
      <c r="E30" s="103" t="s">
        <v>167</v>
      </c>
      <c r="F30" s="45"/>
      <c r="G30" s="45" t="s">
        <v>168</v>
      </c>
      <c r="H30" s="45" t="s">
        <v>114</v>
      </c>
      <c r="I30" s="45"/>
      <c r="J30" s="44"/>
      <c r="K30" s="44"/>
      <c r="L30" s="44"/>
      <c r="M30" s="44"/>
      <c r="N30" s="44"/>
      <c r="O30" s="44"/>
      <c r="P30" s="44"/>
      <c r="Q30" s="44"/>
      <c r="R30" s="44"/>
      <c r="S30" s="46"/>
      <c r="T30" s="44"/>
    </row>
    <row r="31" spans="1:20" ht="26.25" thickBot="1">
      <c r="A31" s="104" t="s">
        <v>109</v>
      </c>
      <c r="B31" s="44" t="s">
        <v>165</v>
      </c>
      <c r="C31" s="44" t="s">
        <v>166</v>
      </c>
      <c r="D31" s="45"/>
      <c r="E31" s="103" t="s">
        <v>169</v>
      </c>
      <c r="F31" s="45"/>
      <c r="G31" s="45" t="s">
        <v>170</v>
      </c>
      <c r="H31" s="45" t="s">
        <v>114</v>
      </c>
      <c r="I31" s="45"/>
      <c r="J31" s="44"/>
      <c r="K31" s="44"/>
      <c r="L31" s="44"/>
      <c r="M31" s="44"/>
      <c r="N31" s="44"/>
      <c r="O31" s="44"/>
      <c r="P31" s="44"/>
      <c r="Q31" s="44"/>
      <c r="R31" s="44" t="s">
        <v>115</v>
      </c>
      <c r="S31" s="46"/>
      <c r="T31" s="44"/>
    </row>
    <row r="32" spans="1:20" ht="26.25" thickBot="1">
      <c r="A32" s="104" t="s">
        <v>109</v>
      </c>
      <c r="B32" s="44" t="s">
        <v>165</v>
      </c>
      <c r="C32" s="44" t="s">
        <v>166</v>
      </c>
      <c r="D32" s="45"/>
      <c r="E32" s="103" t="s">
        <v>171</v>
      </c>
      <c r="F32" s="45"/>
      <c r="G32" s="45" t="s">
        <v>172</v>
      </c>
      <c r="H32" s="45" t="s">
        <v>114</v>
      </c>
      <c r="I32" s="45"/>
      <c r="J32" s="44"/>
      <c r="K32" s="44"/>
      <c r="L32" s="44"/>
      <c r="M32" s="44"/>
      <c r="N32" s="44"/>
      <c r="O32" s="44"/>
      <c r="P32" s="44"/>
      <c r="Q32" s="44"/>
      <c r="R32" s="44" t="s">
        <v>115</v>
      </c>
      <c r="S32" s="46"/>
      <c r="T32" s="44"/>
    </row>
    <row r="33" spans="1:20" ht="26.25" thickBot="1">
      <c r="A33" s="104" t="s">
        <v>109</v>
      </c>
      <c r="B33" s="44" t="s">
        <v>165</v>
      </c>
      <c r="C33" s="44" t="s">
        <v>166</v>
      </c>
      <c r="D33" s="45"/>
      <c r="E33" s="103" t="s">
        <v>173</v>
      </c>
      <c r="F33" s="45"/>
      <c r="G33" s="45" t="s">
        <v>174</v>
      </c>
      <c r="H33" s="45" t="s">
        <v>114</v>
      </c>
      <c r="I33" s="45"/>
      <c r="J33" s="44"/>
      <c r="K33" s="44"/>
      <c r="L33" s="44"/>
      <c r="M33" s="44"/>
      <c r="N33" s="44"/>
      <c r="O33" s="44"/>
      <c r="P33" s="44"/>
      <c r="Q33" s="44"/>
      <c r="R33" s="44"/>
      <c r="S33" s="46"/>
      <c r="T33" s="44"/>
    </row>
    <row r="34" spans="1:20" ht="39" thickBot="1">
      <c r="A34" s="104" t="s">
        <v>109</v>
      </c>
      <c r="B34" s="44" t="s">
        <v>165</v>
      </c>
      <c r="C34" s="44" t="s">
        <v>166</v>
      </c>
      <c r="D34" s="45"/>
      <c r="E34" s="103" t="s">
        <v>175</v>
      </c>
      <c r="F34" s="45"/>
      <c r="G34" s="45" t="s">
        <v>176</v>
      </c>
      <c r="H34" s="45" t="s">
        <v>114</v>
      </c>
      <c r="I34" s="45"/>
      <c r="J34" s="44"/>
      <c r="K34" s="44"/>
      <c r="L34" s="44"/>
      <c r="M34" s="44"/>
      <c r="N34" s="44"/>
      <c r="O34" s="44"/>
      <c r="P34" s="44"/>
      <c r="Q34" s="44"/>
      <c r="R34" s="44"/>
      <c r="S34" s="46"/>
      <c r="T34" s="44"/>
    </row>
    <row r="35" spans="1:20" ht="39" thickBot="1">
      <c r="A35" s="104" t="s">
        <v>109</v>
      </c>
      <c r="B35" s="44" t="s">
        <v>165</v>
      </c>
      <c r="C35" s="44" t="s">
        <v>166</v>
      </c>
      <c r="D35" s="45"/>
      <c r="E35" s="103" t="s">
        <v>177</v>
      </c>
      <c r="F35" s="45"/>
      <c r="G35" s="45" t="s">
        <v>178</v>
      </c>
      <c r="H35" s="45" t="s">
        <v>114</v>
      </c>
      <c r="I35" s="45"/>
      <c r="J35" s="44"/>
      <c r="K35" s="44"/>
      <c r="L35" s="44"/>
      <c r="M35" s="44"/>
      <c r="N35" s="44"/>
      <c r="O35" s="44"/>
      <c r="P35" s="44"/>
      <c r="Q35" s="44"/>
      <c r="R35" s="44"/>
      <c r="S35" s="46"/>
      <c r="T35" s="44"/>
    </row>
    <row r="36" spans="1:20" ht="39" thickBot="1">
      <c r="A36" s="104" t="s">
        <v>109</v>
      </c>
      <c r="B36" s="44" t="s">
        <v>165</v>
      </c>
      <c r="C36" s="44" t="s">
        <v>166</v>
      </c>
      <c r="D36" s="45"/>
      <c r="E36" s="103" t="s">
        <v>179</v>
      </c>
      <c r="F36" s="45"/>
      <c r="G36" s="45" t="s">
        <v>180</v>
      </c>
      <c r="H36" s="45" t="s">
        <v>114</v>
      </c>
      <c r="I36" s="45"/>
      <c r="J36" s="44"/>
      <c r="K36" s="44"/>
      <c r="L36" s="44"/>
      <c r="M36" s="44"/>
      <c r="N36" s="44"/>
      <c r="O36" s="44"/>
      <c r="P36" s="44"/>
      <c r="Q36" s="44"/>
      <c r="R36" s="44"/>
      <c r="S36" s="46"/>
      <c r="T36" s="44"/>
    </row>
    <row r="37" spans="1:20" ht="39" thickBot="1">
      <c r="A37" s="104" t="s">
        <v>109</v>
      </c>
      <c r="B37" s="44" t="s">
        <v>165</v>
      </c>
      <c r="C37" s="44" t="s">
        <v>166</v>
      </c>
      <c r="D37" s="45"/>
      <c r="E37" s="103" t="s">
        <v>181</v>
      </c>
      <c r="F37" s="45"/>
      <c r="G37" s="45" t="s">
        <v>182</v>
      </c>
      <c r="H37" s="45" t="s">
        <v>114</v>
      </c>
      <c r="I37" s="45"/>
      <c r="J37" s="44"/>
      <c r="K37" s="44"/>
      <c r="L37" s="44"/>
      <c r="M37" s="44"/>
      <c r="N37" s="44"/>
      <c r="O37" s="44"/>
      <c r="P37" s="44"/>
      <c r="Q37" s="44"/>
      <c r="R37" s="44"/>
      <c r="S37" s="46"/>
      <c r="T37" s="44"/>
    </row>
    <row r="38" spans="1:20" ht="26.25" thickBot="1">
      <c r="A38" s="104" t="s">
        <v>109</v>
      </c>
      <c r="B38" s="44" t="s">
        <v>165</v>
      </c>
      <c r="C38" s="44" t="s">
        <v>166</v>
      </c>
      <c r="D38" s="45"/>
      <c r="E38" s="103" t="s">
        <v>183</v>
      </c>
      <c r="F38" s="45"/>
      <c r="G38" s="45" t="s">
        <v>184</v>
      </c>
      <c r="H38" s="45" t="s">
        <v>114</v>
      </c>
      <c r="I38" s="45"/>
      <c r="J38" s="44"/>
      <c r="K38" s="44"/>
      <c r="L38" s="44"/>
      <c r="M38" s="44"/>
      <c r="N38" s="44"/>
      <c r="O38" s="44"/>
      <c r="P38" s="44"/>
      <c r="Q38" s="44"/>
      <c r="R38" s="44"/>
      <c r="S38" s="46"/>
      <c r="T38" s="44"/>
    </row>
    <row r="39" spans="1:20" ht="26.25" thickBot="1">
      <c r="A39" s="104" t="s">
        <v>109</v>
      </c>
      <c r="B39" s="44" t="s">
        <v>165</v>
      </c>
      <c r="C39" s="44" t="s">
        <v>166</v>
      </c>
      <c r="D39" s="45"/>
      <c r="E39" s="103" t="s">
        <v>185</v>
      </c>
      <c r="F39" s="45"/>
      <c r="G39" s="45" t="s">
        <v>186</v>
      </c>
      <c r="H39" s="45" t="s">
        <v>114</v>
      </c>
      <c r="I39" s="45"/>
      <c r="J39" s="44"/>
      <c r="K39" s="44"/>
      <c r="L39" s="44"/>
      <c r="M39" s="44"/>
      <c r="N39" s="44"/>
      <c r="O39" s="44"/>
      <c r="P39" s="44"/>
      <c r="Q39" s="44"/>
      <c r="R39" s="44"/>
      <c r="S39" s="46"/>
      <c r="T39" s="44"/>
    </row>
    <row r="40" spans="1:20" ht="26.25" thickBot="1">
      <c r="A40" s="104" t="s">
        <v>109</v>
      </c>
      <c r="B40" s="44" t="s">
        <v>187</v>
      </c>
      <c r="C40" s="44" t="s">
        <v>188</v>
      </c>
      <c r="D40" s="45"/>
      <c r="E40" s="103" t="s">
        <v>189</v>
      </c>
      <c r="F40" s="45"/>
      <c r="G40" s="45" t="s">
        <v>190</v>
      </c>
      <c r="H40" s="45" t="s">
        <v>114</v>
      </c>
      <c r="I40" s="45"/>
      <c r="J40" s="44"/>
      <c r="K40" s="44"/>
      <c r="L40" s="44"/>
      <c r="M40" s="44"/>
      <c r="N40" s="44"/>
      <c r="O40" s="44"/>
      <c r="P40" s="44"/>
      <c r="Q40" s="44"/>
      <c r="R40" s="44"/>
      <c r="S40" s="46"/>
      <c r="T40" s="44"/>
    </row>
    <row r="41" spans="1:20" ht="39" thickBot="1">
      <c r="A41" s="104" t="s">
        <v>109</v>
      </c>
      <c r="B41" s="44" t="s">
        <v>187</v>
      </c>
      <c r="C41" s="44" t="s">
        <v>188</v>
      </c>
      <c r="D41" s="45"/>
      <c r="E41" s="103" t="s">
        <v>191</v>
      </c>
      <c r="F41" s="45"/>
      <c r="G41" s="45" t="s">
        <v>192</v>
      </c>
      <c r="H41" s="45" t="s">
        <v>114</v>
      </c>
      <c r="I41" s="45"/>
      <c r="J41" s="44"/>
      <c r="K41" s="44"/>
      <c r="L41" s="44"/>
      <c r="M41" s="44"/>
      <c r="N41" s="44"/>
      <c r="O41" s="44"/>
      <c r="P41" s="44"/>
      <c r="Q41" s="44"/>
      <c r="R41" s="44"/>
      <c r="S41" s="46"/>
      <c r="T41" s="44"/>
    </row>
    <row r="42" spans="1:20" ht="39" thickBot="1">
      <c r="A42" s="104" t="s">
        <v>109</v>
      </c>
      <c r="B42" s="44" t="s">
        <v>187</v>
      </c>
      <c r="C42" s="44" t="s">
        <v>188</v>
      </c>
      <c r="D42" s="45"/>
      <c r="E42" s="103" t="s">
        <v>193</v>
      </c>
      <c r="F42" s="45"/>
      <c r="G42" s="45" t="s">
        <v>194</v>
      </c>
      <c r="H42" s="45" t="s">
        <v>114</v>
      </c>
      <c r="I42" s="45"/>
      <c r="J42" s="44"/>
      <c r="K42" s="44"/>
      <c r="L42" s="44"/>
      <c r="M42" s="44"/>
      <c r="N42" s="44"/>
      <c r="O42" s="44"/>
      <c r="P42" s="44"/>
      <c r="Q42" s="44"/>
      <c r="R42" s="44"/>
      <c r="S42" s="46"/>
      <c r="T42" s="44"/>
    </row>
    <row r="43" spans="1:20" ht="26.25" thickBot="1">
      <c r="A43" s="104" t="s">
        <v>109</v>
      </c>
      <c r="B43" s="44" t="s">
        <v>187</v>
      </c>
      <c r="C43" s="44" t="s">
        <v>188</v>
      </c>
      <c r="D43" s="45"/>
      <c r="E43" s="103" t="s">
        <v>195</v>
      </c>
      <c r="F43" s="45"/>
      <c r="G43" s="45" t="s">
        <v>196</v>
      </c>
      <c r="H43" s="45" t="s">
        <v>114</v>
      </c>
      <c r="I43" s="45"/>
      <c r="J43" s="44"/>
      <c r="K43" s="44"/>
      <c r="L43" s="44"/>
      <c r="M43" s="44"/>
      <c r="N43" s="44"/>
      <c r="O43" s="44"/>
      <c r="P43" s="44"/>
      <c r="Q43" s="44"/>
      <c r="R43" s="44"/>
      <c r="S43" s="46"/>
      <c r="T43" s="44"/>
    </row>
    <row r="44" spans="1:20" ht="39" thickBot="1">
      <c r="A44" s="104" t="s">
        <v>109</v>
      </c>
      <c r="B44" s="44" t="s">
        <v>187</v>
      </c>
      <c r="C44" s="44" t="s">
        <v>188</v>
      </c>
      <c r="D44" s="45"/>
      <c r="E44" s="103" t="s">
        <v>197</v>
      </c>
      <c r="F44" s="45"/>
      <c r="G44" s="45" t="s">
        <v>198</v>
      </c>
      <c r="H44" s="45" t="s">
        <v>114</v>
      </c>
      <c r="I44" s="45"/>
      <c r="J44" s="44"/>
      <c r="K44" s="44"/>
      <c r="L44" s="44"/>
      <c r="M44" s="44"/>
      <c r="N44" s="44"/>
      <c r="O44" s="44"/>
      <c r="P44" s="44"/>
      <c r="Q44" s="44"/>
      <c r="R44" s="44"/>
      <c r="S44" s="46"/>
      <c r="T44" s="44"/>
    </row>
    <row r="45" spans="1:20" ht="39" thickBot="1">
      <c r="A45" s="104" t="s">
        <v>109</v>
      </c>
      <c r="B45" s="44" t="s">
        <v>187</v>
      </c>
      <c r="C45" s="44" t="s">
        <v>188</v>
      </c>
      <c r="D45" s="45"/>
      <c r="E45" s="103" t="s">
        <v>199</v>
      </c>
      <c r="F45" s="45"/>
      <c r="G45" s="45" t="s">
        <v>200</v>
      </c>
      <c r="H45" s="45" t="s">
        <v>114</v>
      </c>
      <c r="I45" s="45"/>
      <c r="J45" s="44"/>
      <c r="K45" s="44"/>
      <c r="L45" s="44"/>
      <c r="M45" s="44"/>
      <c r="N45" s="44"/>
      <c r="O45" s="44"/>
      <c r="P45" s="44"/>
      <c r="Q45" s="44"/>
      <c r="R45" s="44"/>
      <c r="S45" s="46"/>
      <c r="T45" s="44"/>
    </row>
    <row r="46" spans="1:20" ht="39" thickBot="1">
      <c r="A46" s="104" t="s">
        <v>109</v>
      </c>
      <c r="B46" s="44" t="s">
        <v>187</v>
      </c>
      <c r="C46" s="44" t="s">
        <v>188</v>
      </c>
      <c r="D46" s="45"/>
      <c r="E46" s="103" t="s">
        <v>201</v>
      </c>
      <c r="F46" s="45"/>
      <c r="G46" s="45" t="s">
        <v>202</v>
      </c>
      <c r="H46" s="45" t="s">
        <v>114</v>
      </c>
      <c r="I46" s="45"/>
      <c r="J46" s="44"/>
      <c r="K46" s="44"/>
      <c r="L46" s="44"/>
      <c r="M46" s="44"/>
      <c r="N46" s="44"/>
      <c r="O46" s="44"/>
      <c r="P46" s="44"/>
      <c r="Q46" s="44"/>
      <c r="R46" s="44"/>
      <c r="S46" s="46"/>
      <c r="T46" s="44"/>
    </row>
    <row r="47" spans="1:20" ht="26.25" thickBot="1">
      <c r="A47" s="104" t="s">
        <v>109</v>
      </c>
      <c r="B47" s="44" t="s">
        <v>187</v>
      </c>
      <c r="C47" s="44" t="s">
        <v>188</v>
      </c>
      <c r="D47" s="45"/>
      <c r="E47" s="103" t="s">
        <v>203</v>
      </c>
      <c r="F47" s="45"/>
      <c r="G47" s="45" t="s">
        <v>204</v>
      </c>
      <c r="H47" s="45" t="s">
        <v>114</v>
      </c>
      <c r="I47" s="45"/>
      <c r="J47" s="44"/>
      <c r="K47" s="44"/>
      <c r="L47" s="44"/>
      <c r="M47" s="44"/>
      <c r="N47" s="44"/>
      <c r="O47" s="44"/>
      <c r="P47" s="44"/>
      <c r="Q47" s="44"/>
      <c r="R47" s="44"/>
      <c r="S47" s="46"/>
      <c r="T47" s="44"/>
    </row>
    <row r="48" spans="1:20" ht="26.25" thickBot="1">
      <c r="A48" s="104" t="s">
        <v>109</v>
      </c>
      <c r="B48" s="44" t="s">
        <v>187</v>
      </c>
      <c r="C48" s="44" t="s">
        <v>188</v>
      </c>
      <c r="D48" s="45"/>
      <c r="E48" s="103" t="s">
        <v>205</v>
      </c>
      <c r="F48" s="45"/>
      <c r="G48" s="45" t="s">
        <v>206</v>
      </c>
      <c r="H48" s="45" t="s">
        <v>114</v>
      </c>
      <c r="I48" s="45"/>
      <c r="J48" s="44"/>
      <c r="K48" s="44"/>
      <c r="L48" s="44"/>
      <c r="M48" s="44"/>
      <c r="N48" s="44"/>
      <c r="O48" s="44"/>
      <c r="P48" s="44"/>
      <c r="Q48" s="44"/>
      <c r="R48" s="44"/>
      <c r="S48" s="46"/>
      <c r="T48" s="44"/>
    </row>
    <row r="49" spans="1:20" ht="26.25" thickBot="1">
      <c r="A49" s="104" t="s">
        <v>109</v>
      </c>
      <c r="B49" s="44" t="s">
        <v>207</v>
      </c>
      <c r="C49" s="44" t="s">
        <v>208</v>
      </c>
      <c r="D49" s="45"/>
      <c r="E49" s="103" t="s">
        <v>209</v>
      </c>
      <c r="F49" s="45"/>
      <c r="G49" s="45" t="s">
        <v>210</v>
      </c>
      <c r="H49" s="45" t="s">
        <v>114</v>
      </c>
      <c r="I49" s="45"/>
      <c r="J49" s="44"/>
      <c r="K49" s="44"/>
      <c r="L49" s="44"/>
      <c r="M49" s="44"/>
      <c r="N49" s="44"/>
      <c r="O49" s="44"/>
      <c r="P49" s="44"/>
      <c r="Q49" s="44"/>
      <c r="R49" s="44"/>
      <c r="S49" s="46"/>
      <c r="T49" s="44"/>
    </row>
    <row r="50" spans="1:20" ht="39" thickBot="1">
      <c r="A50" s="104" t="s">
        <v>109</v>
      </c>
      <c r="B50" s="44" t="s">
        <v>207</v>
      </c>
      <c r="C50" s="44" t="s">
        <v>208</v>
      </c>
      <c r="D50" s="45"/>
      <c r="E50" s="103" t="s">
        <v>211</v>
      </c>
      <c r="F50" s="45"/>
      <c r="G50" s="45" t="s">
        <v>212</v>
      </c>
      <c r="H50" s="45" t="s">
        <v>114</v>
      </c>
      <c r="I50" s="45"/>
      <c r="J50" s="44"/>
      <c r="K50" s="44"/>
      <c r="L50" s="44"/>
      <c r="M50" s="44"/>
      <c r="N50" s="44"/>
      <c r="O50" s="44"/>
      <c r="P50" s="44"/>
      <c r="Q50" s="44"/>
      <c r="R50" s="44"/>
      <c r="S50" s="46"/>
      <c r="T50" s="44"/>
    </row>
    <row r="51" spans="1:20" ht="26.25" thickBot="1">
      <c r="A51" s="104" t="s">
        <v>109</v>
      </c>
      <c r="B51" s="44" t="s">
        <v>207</v>
      </c>
      <c r="C51" s="44" t="s">
        <v>208</v>
      </c>
      <c r="D51" s="45"/>
      <c r="E51" s="103" t="s">
        <v>213</v>
      </c>
      <c r="F51" s="45"/>
      <c r="G51" s="45" t="s">
        <v>214</v>
      </c>
      <c r="H51" s="45" t="s">
        <v>114</v>
      </c>
      <c r="I51" s="45"/>
      <c r="J51" s="44"/>
      <c r="K51" s="44"/>
      <c r="L51" s="44"/>
      <c r="M51" s="44"/>
      <c r="N51" s="44"/>
      <c r="O51" s="44"/>
      <c r="P51" s="44"/>
      <c r="Q51" s="44"/>
      <c r="R51" s="44"/>
      <c r="S51" s="46"/>
      <c r="T51" s="44"/>
    </row>
    <row r="52" spans="1:20" ht="26.25" thickBot="1">
      <c r="A52" s="104" t="s">
        <v>109</v>
      </c>
      <c r="B52" s="44" t="s">
        <v>207</v>
      </c>
      <c r="C52" s="44" t="s">
        <v>208</v>
      </c>
      <c r="D52" s="45"/>
      <c r="E52" s="103" t="s">
        <v>215</v>
      </c>
      <c r="F52" s="45"/>
      <c r="G52" s="45" t="s">
        <v>216</v>
      </c>
      <c r="H52" s="45" t="s">
        <v>114</v>
      </c>
      <c r="I52" s="45"/>
      <c r="J52" s="44"/>
      <c r="K52" s="44"/>
      <c r="L52" s="44"/>
      <c r="M52" s="44"/>
      <c r="N52" s="44"/>
      <c r="O52" s="44"/>
      <c r="P52" s="44"/>
      <c r="Q52" s="44"/>
      <c r="R52" s="44"/>
      <c r="S52" s="46"/>
      <c r="T52" s="44"/>
    </row>
    <row r="53" spans="1:20" ht="26.25" thickBot="1">
      <c r="A53" s="104" t="s">
        <v>109</v>
      </c>
      <c r="B53" s="44" t="s">
        <v>217</v>
      </c>
      <c r="C53" s="44" t="s">
        <v>208</v>
      </c>
      <c r="D53" s="45"/>
      <c r="E53" s="103" t="s">
        <v>218</v>
      </c>
      <c r="F53" s="45"/>
      <c r="G53" s="45" t="s">
        <v>219</v>
      </c>
      <c r="H53" s="45" t="s">
        <v>114</v>
      </c>
      <c r="I53" s="45"/>
      <c r="J53" s="44"/>
      <c r="K53" s="44"/>
      <c r="L53" s="44"/>
      <c r="M53" s="44"/>
      <c r="N53" s="44"/>
      <c r="O53" s="44"/>
      <c r="P53" s="44"/>
      <c r="Q53" s="44"/>
      <c r="R53" s="44"/>
      <c r="S53" s="46"/>
      <c r="T53" s="44"/>
    </row>
    <row r="54" spans="1:20" ht="39" thickBot="1">
      <c r="A54" s="104" t="s">
        <v>109</v>
      </c>
      <c r="B54" s="44" t="s">
        <v>217</v>
      </c>
      <c r="C54" s="44" t="s">
        <v>208</v>
      </c>
      <c r="D54" s="45"/>
      <c r="E54" s="103" t="s">
        <v>220</v>
      </c>
      <c r="F54" s="45"/>
      <c r="G54" s="45" t="s">
        <v>221</v>
      </c>
      <c r="H54" s="45" t="s">
        <v>114</v>
      </c>
      <c r="I54" s="45"/>
      <c r="J54" s="44"/>
      <c r="K54" s="44"/>
      <c r="L54" s="44"/>
      <c r="M54" s="44"/>
      <c r="N54" s="44"/>
      <c r="O54" s="44"/>
      <c r="P54" s="44"/>
      <c r="Q54" s="44"/>
      <c r="R54" s="44"/>
      <c r="S54" s="46"/>
      <c r="T54" s="44"/>
    </row>
    <row r="55" spans="1:20" ht="26.25" thickBot="1">
      <c r="A55" s="104" t="s">
        <v>109</v>
      </c>
      <c r="B55" s="44" t="s">
        <v>217</v>
      </c>
      <c r="C55" s="44" t="s">
        <v>208</v>
      </c>
      <c r="D55" s="45"/>
      <c r="E55" s="103" t="s">
        <v>222</v>
      </c>
      <c r="F55" s="45"/>
      <c r="G55" s="45" t="s">
        <v>223</v>
      </c>
      <c r="H55" s="45" t="s">
        <v>114</v>
      </c>
      <c r="I55" s="45"/>
      <c r="J55" s="44"/>
      <c r="K55" s="44"/>
      <c r="L55" s="44"/>
      <c r="M55" s="44"/>
      <c r="N55" s="44"/>
      <c r="O55" s="44"/>
      <c r="P55" s="44"/>
      <c r="Q55" s="44"/>
      <c r="R55" s="44"/>
      <c r="S55" s="46"/>
      <c r="T55" s="44"/>
    </row>
    <row r="56" spans="1:20" ht="26.25" thickBot="1">
      <c r="A56" s="104" t="s">
        <v>109</v>
      </c>
      <c r="B56" s="44" t="s">
        <v>217</v>
      </c>
      <c r="C56" s="44" t="s">
        <v>208</v>
      </c>
      <c r="D56" s="45"/>
      <c r="E56" s="103" t="s">
        <v>224</v>
      </c>
      <c r="F56" s="45"/>
      <c r="G56" s="45" t="s">
        <v>225</v>
      </c>
      <c r="H56" s="45" t="s">
        <v>114</v>
      </c>
      <c r="I56" s="45"/>
      <c r="J56" s="44"/>
      <c r="K56" s="44"/>
      <c r="L56" s="44"/>
      <c r="M56" s="44"/>
      <c r="N56" s="44"/>
      <c r="O56" s="44"/>
      <c r="P56" s="44"/>
      <c r="Q56" s="44"/>
      <c r="R56" s="44"/>
      <c r="S56" s="46"/>
      <c r="T56" s="44"/>
    </row>
    <row r="57" spans="1:20" ht="26.25" thickBot="1">
      <c r="A57" s="104" t="s">
        <v>109</v>
      </c>
      <c r="B57" s="44" t="s">
        <v>226</v>
      </c>
      <c r="C57" s="44" t="s">
        <v>227</v>
      </c>
      <c r="D57" s="45"/>
      <c r="E57" s="103" t="s">
        <v>228</v>
      </c>
      <c r="F57" s="45"/>
      <c r="G57" s="45" t="s">
        <v>229</v>
      </c>
      <c r="H57" s="45" t="s">
        <v>114</v>
      </c>
      <c r="I57" s="45"/>
      <c r="J57" s="44"/>
      <c r="K57" s="44"/>
      <c r="L57" s="44"/>
      <c r="M57" s="44"/>
      <c r="N57" s="44"/>
      <c r="O57" s="44"/>
      <c r="P57" s="44"/>
      <c r="Q57" s="44"/>
      <c r="R57" s="44"/>
      <c r="S57" s="46"/>
      <c r="T57" s="44"/>
    </row>
    <row r="58" spans="1:20" ht="39" thickBot="1">
      <c r="A58" s="104" t="s">
        <v>109</v>
      </c>
      <c r="B58" s="44" t="s">
        <v>226</v>
      </c>
      <c r="C58" s="44" t="s">
        <v>227</v>
      </c>
      <c r="D58" s="45"/>
      <c r="E58" s="103" t="s">
        <v>230</v>
      </c>
      <c r="F58" s="45"/>
      <c r="G58" s="45" t="s">
        <v>231</v>
      </c>
      <c r="H58" s="45" t="s">
        <v>114</v>
      </c>
      <c r="I58" s="45"/>
      <c r="J58" s="44"/>
      <c r="K58" s="44"/>
      <c r="L58" s="44"/>
      <c r="M58" s="44"/>
      <c r="N58" s="44"/>
      <c r="O58" s="44"/>
      <c r="P58" s="44"/>
      <c r="Q58" s="44"/>
      <c r="R58" s="44"/>
      <c r="S58" s="46"/>
      <c r="T58" s="44"/>
    </row>
    <row r="59" spans="1:20" ht="26.25" thickBot="1">
      <c r="A59" s="104" t="s">
        <v>109</v>
      </c>
      <c r="B59" s="44" t="s">
        <v>226</v>
      </c>
      <c r="C59" s="44" t="s">
        <v>227</v>
      </c>
      <c r="D59" s="45"/>
      <c r="E59" s="103" t="s">
        <v>232</v>
      </c>
      <c r="F59" s="45"/>
      <c r="G59" s="45" t="s">
        <v>233</v>
      </c>
      <c r="H59" s="45" t="s">
        <v>114</v>
      </c>
      <c r="I59" s="45"/>
      <c r="J59" s="44"/>
      <c r="K59" s="44"/>
      <c r="L59" s="44"/>
      <c r="M59" s="44"/>
      <c r="N59" s="44"/>
      <c r="O59" s="44"/>
      <c r="P59" s="44"/>
      <c r="Q59" s="44"/>
      <c r="R59" s="44"/>
      <c r="S59" s="46"/>
      <c r="T59" s="44"/>
    </row>
    <row r="60" spans="1:20" ht="26.25" thickBot="1">
      <c r="A60" s="104" t="s">
        <v>109</v>
      </c>
      <c r="B60" s="44" t="s">
        <v>226</v>
      </c>
      <c r="C60" s="44" t="s">
        <v>227</v>
      </c>
      <c r="D60" s="45"/>
      <c r="E60" s="103" t="s">
        <v>234</v>
      </c>
      <c r="F60" s="45"/>
      <c r="G60" s="45" t="s">
        <v>235</v>
      </c>
      <c r="H60" s="45" t="s">
        <v>114</v>
      </c>
      <c r="I60" s="45"/>
      <c r="J60" s="44"/>
      <c r="K60" s="44"/>
      <c r="L60" s="44"/>
      <c r="M60" s="44"/>
      <c r="N60" s="44"/>
      <c r="O60" s="44"/>
      <c r="P60" s="44"/>
      <c r="Q60" s="44"/>
      <c r="R60" s="44"/>
      <c r="S60" s="46"/>
      <c r="T60" s="44"/>
    </row>
    <row r="61" spans="1:20" ht="26.25" thickBot="1">
      <c r="A61" s="104" t="s">
        <v>109</v>
      </c>
      <c r="B61" s="44" t="s">
        <v>236</v>
      </c>
      <c r="C61" s="44" t="s">
        <v>227</v>
      </c>
      <c r="D61" s="45"/>
      <c r="E61" s="103" t="s">
        <v>237</v>
      </c>
      <c r="F61" s="45"/>
      <c r="G61" s="45" t="s">
        <v>238</v>
      </c>
      <c r="H61" s="45" t="s">
        <v>114</v>
      </c>
      <c r="I61" s="45"/>
      <c r="J61" s="44"/>
      <c r="K61" s="44"/>
      <c r="L61" s="44"/>
      <c r="M61" s="44"/>
      <c r="N61" s="44"/>
      <c r="O61" s="44"/>
      <c r="P61" s="44"/>
      <c r="Q61" s="44"/>
      <c r="R61" s="44"/>
      <c r="S61" s="46"/>
      <c r="T61" s="44"/>
    </row>
    <row r="62" spans="1:20" ht="39" thickBot="1">
      <c r="A62" s="104" t="s">
        <v>109</v>
      </c>
      <c r="B62" s="44" t="s">
        <v>236</v>
      </c>
      <c r="C62" s="44" t="s">
        <v>227</v>
      </c>
      <c r="D62" s="45"/>
      <c r="E62" s="103" t="s">
        <v>239</v>
      </c>
      <c r="F62" s="45"/>
      <c r="G62" s="45" t="s">
        <v>240</v>
      </c>
      <c r="H62" s="45" t="s">
        <v>114</v>
      </c>
      <c r="I62" s="45"/>
      <c r="J62" s="44"/>
      <c r="K62" s="44"/>
      <c r="L62" s="44"/>
      <c r="M62" s="44"/>
      <c r="N62" s="44"/>
      <c r="O62" s="44"/>
      <c r="P62" s="44"/>
      <c r="Q62" s="44"/>
      <c r="R62" s="44"/>
      <c r="S62" s="46"/>
      <c r="T62" s="44"/>
    </row>
    <row r="63" spans="1:20" ht="26.25" thickBot="1">
      <c r="A63" s="104" t="s">
        <v>109</v>
      </c>
      <c r="B63" s="44" t="s">
        <v>236</v>
      </c>
      <c r="C63" s="44" t="s">
        <v>227</v>
      </c>
      <c r="D63" s="45"/>
      <c r="E63" s="103" t="s">
        <v>241</v>
      </c>
      <c r="F63" s="45"/>
      <c r="G63" s="45" t="s">
        <v>242</v>
      </c>
      <c r="H63" s="45" t="s">
        <v>114</v>
      </c>
      <c r="I63" s="45"/>
      <c r="J63" s="44"/>
      <c r="K63" s="44"/>
      <c r="L63" s="44"/>
      <c r="M63" s="44"/>
      <c r="N63" s="44"/>
      <c r="O63" s="44"/>
      <c r="P63" s="44"/>
      <c r="Q63" s="44"/>
      <c r="R63" s="44"/>
      <c r="S63" s="46"/>
      <c r="T63" s="44"/>
    </row>
    <row r="64" spans="1:20" ht="26.25" thickBot="1">
      <c r="A64" s="104" t="s">
        <v>109</v>
      </c>
      <c r="B64" s="44" t="s">
        <v>236</v>
      </c>
      <c r="C64" s="44" t="s">
        <v>227</v>
      </c>
      <c r="D64" s="45"/>
      <c r="E64" s="103" t="s">
        <v>243</v>
      </c>
      <c r="F64" s="45"/>
      <c r="G64" s="45" t="s">
        <v>244</v>
      </c>
      <c r="H64" s="45" t="s">
        <v>114</v>
      </c>
      <c r="I64" s="45"/>
      <c r="J64" s="44"/>
      <c r="K64" s="44"/>
      <c r="L64" s="44"/>
      <c r="M64" s="44"/>
      <c r="N64" s="44"/>
      <c r="O64" s="44"/>
      <c r="P64" s="44"/>
      <c r="Q64" s="44"/>
      <c r="R64" s="44"/>
      <c r="S64" s="46"/>
      <c r="T64" s="44"/>
    </row>
    <row r="65" spans="1:20" ht="26.25" thickBot="1">
      <c r="A65" s="104" t="s">
        <v>109</v>
      </c>
      <c r="B65" s="44" t="s">
        <v>245</v>
      </c>
      <c r="C65" s="44" t="s">
        <v>246</v>
      </c>
      <c r="D65" s="45"/>
      <c r="E65" s="103" t="s">
        <v>247</v>
      </c>
      <c r="F65" s="45"/>
      <c r="G65" s="45" t="s">
        <v>248</v>
      </c>
      <c r="H65" s="45" t="s">
        <v>114</v>
      </c>
      <c r="I65" s="45"/>
      <c r="J65" s="44"/>
      <c r="K65" s="44"/>
      <c r="L65" s="44"/>
      <c r="M65" s="44"/>
      <c r="N65" s="44"/>
      <c r="O65" s="44"/>
      <c r="P65" s="44"/>
      <c r="Q65" s="44"/>
      <c r="R65" s="44"/>
      <c r="S65" s="46"/>
      <c r="T65" s="44"/>
    </row>
    <row r="66" spans="1:20" ht="26.25" thickBot="1">
      <c r="A66" s="104" t="s">
        <v>109</v>
      </c>
      <c r="B66" s="44" t="s">
        <v>245</v>
      </c>
      <c r="C66" s="44" t="s">
        <v>246</v>
      </c>
      <c r="D66" s="45"/>
      <c r="E66" s="103" t="s">
        <v>249</v>
      </c>
      <c r="F66" s="45"/>
      <c r="G66" s="45" t="s">
        <v>250</v>
      </c>
      <c r="H66" s="45" t="s">
        <v>114</v>
      </c>
      <c r="I66" s="45"/>
      <c r="J66" s="44"/>
      <c r="K66" s="44"/>
      <c r="L66" s="44"/>
      <c r="M66" s="44"/>
      <c r="N66" s="44"/>
      <c r="O66" s="44"/>
      <c r="P66" s="44"/>
      <c r="Q66" s="44"/>
      <c r="R66" s="44"/>
      <c r="S66" s="46"/>
      <c r="T66" s="44"/>
    </row>
    <row r="67" spans="1:20" ht="26.25" thickBot="1">
      <c r="A67" s="104" t="s">
        <v>109</v>
      </c>
      <c r="B67" s="44" t="s">
        <v>245</v>
      </c>
      <c r="C67" s="44" t="s">
        <v>246</v>
      </c>
      <c r="D67" s="45"/>
      <c r="E67" s="103" t="s">
        <v>251</v>
      </c>
      <c r="F67" s="45"/>
      <c r="G67" s="45" t="s">
        <v>252</v>
      </c>
      <c r="H67" s="45" t="s">
        <v>114</v>
      </c>
      <c r="I67" s="45"/>
      <c r="J67" s="44"/>
      <c r="K67" s="44"/>
      <c r="L67" s="44"/>
      <c r="M67" s="44"/>
      <c r="N67" s="44"/>
      <c r="O67" s="44"/>
      <c r="P67" s="44"/>
      <c r="Q67" s="44"/>
      <c r="R67" s="44"/>
      <c r="S67" s="46"/>
      <c r="T67" s="44"/>
    </row>
    <row r="68" spans="1:20" ht="26.25" thickBot="1">
      <c r="A68" s="104" t="s">
        <v>109</v>
      </c>
      <c r="B68" s="44" t="s">
        <v>253</v>
      </c>
      <c r="C68" s="44" t="s">
        <v>246</v>
      </c>
      <c r="D68" s="45"/>
      <c r="E68" s="103" t="s">
        <v>254</v>
      </c>
      <c r="F68" s="45"/>
      <c r="G68" s="45" t="s">
        <v>255</v>
      </c>
      <c r="H68" s="45" t="s">
        <v>114</v>
      </c>
      <c r="I68" s="45"/>
      <c r="J68" s="44"/>
      <c r="K68" s="44"/>
      <c r="L68" s="44"/>
      <c r="M68" s="44"/>
      <c r="N68" s="44"/>
      <c r="O68" s="44"/>
      <c r="P68" s="44"/>
      <c r="Q68" s="44"/>
      <c r="R68" s="44"/>
      <c r="S68" s="46"/>
      <c r="T68" s="44"/>
    </row>
    <row r="69" spans="1:20" ht="26.25" thickBot="1">
      <c r="A69" s="104" t="s">
        <v>109</v>
      </c>
      <c r="B69" s="44" t="s">
        <v>253</v>
      </c>
      <c r="C69" s="44" t="s">
        <v>246</v>
      </c>
      <c r="D69" s="45"/>
      <c r="E69" s="103" t="s">
        <v>256</v>
      </c>
      <c r="F69" s="45"/>
      <c r="G69" s="45" t="s">
        <v>257</v>
      </c>
      <c r="H69" s="45" t="s">
        <v>114</v>
      </c>
      <c r="I69" s="45"/>
      <c r="J69" s="44"/>
      <c r="K69" s="44"/>
      <c r="L69" s="44"/>
      <c r="M69" s="44"/>
      <c r="N69" s="44"/>
      <c r="O69" s="44"/>
      <c r="P69" s="44"/>
      <c r="Q69" s="44"/>
      <c r="R69" s="44"/>
      <c r="S69" s="46"/>
      <c r="T69" s="44"/>
    </row>
    <row r="70" spans="1:20" ht="26.25" thickBot="1">
      <c r="A70" s="104" t="s">
        <v>109</v>
      </c>
      <c r="B70" s="44" t="s">
        <v>253</v>
      </c>
      <c r="C70" s="44" t="s">
        <v>246</v>
      </c>
      <c r="D70" s="45"/>
      <c r="E70" s="103" t="s">
        <v>258</v>
      </c>
      <c r="F70" s="45"/>
      <c r="G70" s="45" t="s">
        <v>259</v>
      </c>
      <c r="H70" s="45" t="s">
        <v>114</v>
      </c>
      <c r="I70" s="45"/>
      <c r="J70" s="44"/>
      <c r="K70" s="44"/>
      <c r="L70" s="44"/>
      <c r="M70" s="44"/>
      <c r="N70" s="44"/>
      <c r="O70" s="44"/>
      <c r="P70" s="44"/>
      <c r="Q70" s="44"/>
      <c r="R70" s="44"/>
      <c r="S70" s="46"/>
      <c r="T70" s="44"/>
    </row>
    <row r="71" spans="1:20" ht="26.25" thickBot="1">
      <c r="A71" s="104" t="s">
        <v>109</v>
      </c>
      <c r="B71" s="44" t="s">
        <v>260</v>
      </c>
      <c r="C71" s="44" t="s">
        <v>261</v>
      </c>
      <c r="D71" s="45"/>
      <c r="E71" s="103" t="s">
        <v>262</v>
      </c>
      <c r="F71" s="45"/>
      <c r="G71" s="45" t="s">
        <v>263</v>
      </c>
      <c r="H71" s="45" t="s">
        <v>114</v>
      </c>
      <c r="I71" s="45"/>
      <c r="J71" s="44"/>
      <c r="K71" s="44"/>
      <c r="L71" s="44"/>
      <c r="M71" s="44"/>
      <c r="N71" s="44"/>
      <c r="O71" s="44"/>
      <c r="P71" s="44"/>
      <c r="Q71" s="44"/>
      <c r="R71" s="44"/>
      <c r="S71" s="46"/>
      <c r="T71" s="44"/>
    </row>
    <row r="72" spans="1:20" ht="26.25" thickBot="1">
      <c r="A72" s="104" t="s">
        <v>109</v>
      </c>
      <c r="B72" s="44" t="s">
        <v>260</v>
      </c>
      <c r="C72" s="44" t="s">
        <v>261</v>
      </c>
      <c r="D72" s="45"/>
      <c r="E72" s="103" t="s">
        <v>264</v>
      </c>
      <c r="F72" s="45"/>
      <c r="G72" s="45" t="s">
        <v>265</v>
      </c>
      <c r="H72" s="45" t="s">
        <v>114</v>
      </c>
      <c r="I72" s="45"/>
      <c r="J72" s="44"/>
      <c r="K72" s="44"/>
      <c r="L72" s="44"/>
      <c r="M72" s="44"/>
      <c r="N72" s="44"/>
      <c r="O72" s="44"/>
      <c r="P72" s="44"/>
      <c r="Q72" s="44"/>
      <c r="R72" s="44"/>
      <c r="S72" s="46"/>
      <c r="T72" s="44"/>
    </row>
    <row r="73" spans="1:20" ht="26.25" thickBot="1">
      <c r="A73" s="104" t="s">
        <v>109</v>
      </c>
      <c r="B73" s="44" t="s">
        <v>260</v>
      </c>
      <c r="C73" s="44" t="s">
        <v>261</v>
      </c>
      <c r="D73" s="45"/>
      <c r="E73" s="103" t="s">
        <v>266</v>
      </c>
      <c r="F73" s="45"/>
      <c r="G73" s="45" t="s">
        <v>267</v>
      </c>
      <c r="H73" s="45" t="s">
        <v>114</v>
      </c>
      <c r="I73" s="45"/>
      <c r="J73" s="44"/>
      <c r="K73" s="44"/>
      <c r="L73" s="44"/>
      <c r="M73" s="44"/>
      <c r="N73" s="44"/>
      <c r="O73" s="44"/>
      <c r="P73" s="44"/>
      <c r="Q73" s="44"/>
      <c r="R73" s="44"/>
      <c r="S73" s="46"/>
      <c r="T73" s="44"/>
    </row>
    <row r="74" spans="1:20" ht="26.25" thickBot="1">
      <c r="A74" s="104" t="s">
        <v>109</v>
      </c>
      <c r="B74" s="44" t="s">
        <v>268</v>
      </c>
      <c r="C74" s="44" t="s">
        <v>261</v>
      </c>
      <c r="D74" s="45"/>
      <c r="E74" s="103" t="s">
        <v>269</v>
      </c>
      <c r="F74" s="45"/>
      <c r="G74" s="45" t="s">
        <v>270</v>
      </c>
      <c r="H74" s="45" t="s">
        <v>114</v>
      </c>
      <c r="I74" s="45"/>
      <c r="J74" s="44"/>
      <c r="K74" s="44"/>
      <c r="L74" s="44"/>
      <c r="M74" s="44"/>
      <c r="N74" s="44"/>
      <c r="O74" s="44"/>
      <c r="P74" s="44"/>
      <c r="Q74" s="44"/>
      <c r="R74" s="44"/>
      <c r="S74" s="46"/>
      <c r="T74" s="44"/>
    </row>
    <row r="75" spans="1:20" ht="26.25" thickBot="1">
      <c r="A75" s="104" t="s">
        <v>109</v>
      </c>
      <c r="B75" s="44" t="s">
        <v>268</v>
      </c>
      <c r="C75" s="44" t="s">
        <v>261</v>
      </c>
      <c r="D75" s="45"/>
      <c r="E75" s="103" t="s">
        <v>271</v>
      </c>
      <c r="F75" s="45"/>
      <c r="G75" s="45" t="s">
        <v>272</v>
      </c>
      <c r="H75" s="45" t="s">
        <v>114</v>
      </c>
      <c r="I75" s="45"/>
      <c r="J75" s="44"/>
      <c r="K75" s="44"/>
      <c r="L75" s="44"/>
      <c r="M75" s="44"/>
      <c r="N75" s="44"/>
      <c r="O75" s="44"/>
      <c r="P75" s="44"/>
      <c r="Q75" s="44"/>
      <c r="R75" s="44"/>
      <c r="S75" s="46"/>
      <c r="T75" s="44"/>
    </row>
    <row r="76" spans="1:20" ht="26.25" thickBot="1">
      <c r="A76" s="104" t="s">
        <v>109</v>
      </c>
      <c r="B76" s="44" t="s">
        <v>268</v>
      </c>
      <c r="C76" s="44" t="s">
        <v>261</v>
      </c>
      <c r="D76" s="45"/>
      <c r="E76" s="103" t="s">
        <v>273</v>
      </c>
      <c r="F76" s="45"/>
      <c r="G76" s="45" t="s">
        <v>274</v>
      </c>
      <c r="H76" s="45" t="s">
        <v>114</v>
      </c>
      <c r="I76" s="45"/>
      <c r="J76" s="44"/>
      <c r="K76" s="44"/>
      <c r="L76" s="44"/>
      <c r="M76" s="44"/>
      <c r="N76" s="44"/>
      <c r="O76" s="44"/>
      <c r="P76" s="44"/>
      <c r="Q76" s="44"/>
      <c r="R76" s="44"/>
      <c r="S76" s="46"/>
      <c r="T76" s="44"/>
    </row>
    <row r="77" spans="1:20" ht="51.75" customHeight="1" thickBot="1">
      <c r="A77" s="104" t="s">
        <v>109</v>
      </c>
      <c r="B77" s="44" t="s">
        <v>275</v>
      </c>
      <c r="C77" s="44" t="s">
        <v>276</v>
      </c>
      <c r="D77" s="45"/>
      <c r="E77" s="103" t="s">
        <v>277</v>
      </c>
      <c r="F77" s="45"/>
      <c r="G77" s="45" t="s">
        <v>278</v>
      </c>
      <c r="H77" s="45" t="s">
        <v>114</v>
      </c>
      <c r="I77" s="45"/>
      <c r="J77" s="44"/>
      <c r="K77" s="44"/>
      <c r="L77" s="44"/>
      <c r="M77" s="44"/>
      <c r="N77" s="44"/>
      <c r="O77" s="44"/>
      <c r="P77" s="44"/>
      <c r="Q77" s="44"/>
      <c r="R77" s="44"/>
      <c r="S77" s="46"/>
      <c r="T77" s="44"/>
    </row>
    <row r="78" spans="1:20" ht="51.75" customHeight="1" thickBot="1">
      <c r="A78" s="104" t="s">
        <v>109</v>
      </c>
      <c r="B78" s="44" t="s">
        <v>275</v>
      </c>
      <c r="C78" s="44" t="s">
        <v>276</v>
      </c>
      <c r="D78" s="45"/>
      <c r="E78" s="103" t="s">
        <v>279</v>
      </c>
      <c r="F78" s="45"/>
      <c r="G78" s="45" t="s">
        <v>280</v>
      </c>
      <c r="H78" s="45" t="s">
        <v>114</v>
      </c>
      <c r="I78" s="45"/>
      <c r="J78" s="44"/>
      <c r="K78" s="44"/>
      <c r="L78" s="44"/>
      <c r="M78" s="44"/>
      <c r="N78" s="44"/>
      <c r="O78" s="44"/>
      <c r="P78" s="44"/>
      <c r="Q78" s="44"/>
      <c r="R78" s="44"/>
      <c r="S78" s="46"/>
      <c r="T78" s="44"/>
    </row>
    <row r="79" spans="1:20" ht="51.75" customHeight="1" thickBot="1">
      <c r="A79" s="104" t="s">
        <v>109</v>
      </c>
      <c r="B79" s="44" t="s">
        <v>275</v>
      </c>
      <c r="C79" s="44" t="s">
        <v>276</v>
      </c>
      <c r="D79" s="45"/>
      <c r="E79" s="103" t="s">
        <v>281</v>
      </c>
      <c r="F79" s="45"/>
      <c r="G79" s="45" t="s">
        <v>282</v>
      </c>
      <c r="H79" s="45" t="s">
        <v>114</v>
      </c>
      <c r="I79" s="45"/>
      <c r="J79" s="44"/>
      <c r="K79" s="44"/>
      <c r="L79" s="44"/>
      <c r="M79" s="44"/>
      <c r="N79" s="44"/>
      <c r="O79" s="44"/>
      <c r="P79" s="44"/>
      <c r="Q79" s="44"/>
      <c r="R79" s="44"/>
      <c r="S79" s="46"/>
      <c r="T79" s="44"/>
    </row>
    <row r="80" spans="1:20" ht="51.75" customHeight="1" thickBot="1">
      <c r="A80" s="104" t="s">
        <v>109</v>
      </c>
      <c r="B80" s="44" t="s">
        <v>275</v>
      </c>
      <c r="C80" s="44" t="s">
        <v>276</v>
      </c>
      <c r="D80" s="45"/>
      <c r="E80" s="103" t="s">
        <v>283</v>
      </c>
      <c r="F80" s="45"/>
      <c r="G80" s="45" t="s">
        <v>284</v>
      </c>
      <c r="H80" s="45" t="s">
        <v>114</v>
      </c>
      <c r="I80" s="45"/>
      <c r="J80" s="44"/>
      <c r="K80" s="44"/>
      <c r="L80" s="44"/>
      <c r="M80" s="44"/>
      <c r="N80" s="44"/>
      <c r="O80" s="44"/>
      <c r="P80" s="44"/>
      <c r="Q80" s="44"/>
      <c r="R80" s="44"/>
      <c r="S80" s="46"/>
      <c r="T80" s="44"/>
    </row>
    <row r="81" spans="1:20" s="33" customFormat="1" ht="39" thickBot="1">
      <c r="A81" s="104" t="s">
        <v>109</v>
      </c>
      <c r="B81" s="44" t="s">
        <v>275</v>
      </c>
      <c r="C81" s="44" t="s">
        <v>276</v>
      </c>
      <c r="D81" s="45"/>
      <c r="E81" s="103" t="s">
        <v>285</v>
      </c>
      <c r="F81" s="45"/>
      <c r="G81" s="45" t="s">
        <v>286</v>
      </c>
      <c r="H81" s="45" t="s">
        <v>114</v>
      </c>
      <c r="I81" s="45"/>
      <c r="J81" s="44"/>
      <c r="K81" s="44"/>
      <c r="L81" s="44"/>
      <c r="M81" s="44"/>
      <c r="N81" s="44"/>
      <c r="O81" s="44"/>
      <c r="P81" s="44"/>
      <c r="Q81" s="44"/>
      <c r="R81" s="44"/>
      <c r="S81" s="46"/>
      <c r="T81" s="44"/>
    </row>
    <row r="82" spans="1:20" s="33" customFormat="1" ht="39" thickBot="1">
      <c r="A82" s="104" t="s">
        <v>109</v>
      </c>
      <c r="B82" s="44" t="s">
        <v>275</v>
      </c>
      <c r="C82" s="44" t="s">
        <v>276</v>
      </c>
      <c r="D82" s="45"/>
      <c r="E82" s="103" t="s">
        <v>287</v>
      </c>
      <c r="F82" s="45"/>
      <c r="G82" s="45" t="s">
        <v>288</v>
      </c>
      <c r="H82" s="45" t="s">
        <v>114</v>
      </c>
      <c r="I82" s="45"/>
      <c r="J82" s="44"/>
      <c r="K82" s="44"/>
      <c r="L82" s="44"/>
      <c r="M82" s="44"/>
      <c r="N82" s="44"/>
      <c r="O82" s="44"/>
      <c r="P82" s="44"/>
      <c r="Q82" s="44"/>
      <c r="R82" s="44"/>
      <c r="S82" s="46"/>
      <c r="T82" s="44"/>
    </row>
    <row r="83" spans="1:20" s="33" customFormat="1" ht="26.25" thickBot="1">
      <c r="A83" s="104" t="s">
        <v>109</v>
      </c>
      <c r="B83" s="44" t="s">
        <v>275</v>
      </c>
      <c r="C83" s="44" t="s">
        <v>276</v>
      </c>
      <c r="D83" s="45"/>
      <c r="E83" s="103" t="s">
        <v>289</v>
      </c>
      <c r="F83" s="45"/>
      <c r="G83" s="45" t="s">
        <v>290</v>
      </c>
      <c r="H83" s="45" t="s">
        <v>114</v>
      </c>
      <c r="I83" s="45"/>
      <c r="J83" s="44"/>
      <c r="K83" s="44"/>
      <c r="L83" s="44"/>
      <c r="M83" s="44"/>
      <c r="N83" s="44"/>
      <c r="O83" s="44"/>
      <c r="P83" s="44"/>
      <c r="Q83" s="44"/>
      <c r="R83" s="44"/>
      <c r="S83" s="46"/>
      <c r="T83" s="44"/>
    </row>
    <row r="84" spans="1:20" s="33" customFormat="1" ht="26.25" thickBot="1">
      <c r="A84" s="104" t="s">
        <v>109</v>
      </c>
      <c r="B84" s="44" t="s">
        <v>275</v>
      </c>
      <c r="C84" s="44" t="s">
        <v>276</v>
      </c>
      <c r="D84" s="45"/>
      <c r="E84" s="103" t="s">
        <v>291</v>
      </c>
      <c r="F84" s="45"/>
      <c r="G84" s="45" t="s">
        <v>292</v>
      </c>
      <c r="H84" s="45" t="s">
        <v>114</v>
      </c>
      <c r="I84" s="45"/>
      <c r="J84" s="44"/>
      <c r="K84" s="44"/>
      <c r="L84" s="44"/>
      <c r="M84" s="44"/>
      <c r="N84" s="44"/>
      <c r="O84" s="44"/>
      <c r="P84" s="44"/>
      <c r="Q84" s="44"/>
      <c r="R84" s="44"/>
      <c r="S84" s="46"/>
      <c r="T84" s="44"/>
    </row>
    <row r="85" spans="1:20" s="33" customFormat="1" ht="26.25" thickBot="1">
      <c r="A85" s="104" t="s">
        <v>109</v>
      </c>
      <c r="B85" s="44" t="s">
        <v>275</v>
      </c>
      <c r="C85" s="44" t="s">
        <v>276</v>
      </c>
      <c r="D85" s="45"/>
      <c r="E85" s="103" t="s">
        <v>293</v>
      </c>
      <c r="F85" s="45"/>
      <c r="G85" s="45" t="s">
        <v>294</v>
      </c>
      <c r="H85" s="45" t="s">
        <v>114</v>
      </c>
      <c r="I85" s="45"/>
      <c r="J85" s="44"/>
      <c r="K85" s="44"/>
      <c r="L85" s="44"/>
      <c r="M85" s="44"/>
      <c r="N85" s="44"/>
      <c r="O85" s="44"/>
      <c r="P85" s="44"/>
      <c r="Q85" s="44"/>
      <c r="R85" s="44"/>
      <c r="S85" s="46"/>
      <c r="T85" s="44"/>
    </row>
    <row r="86" spans="1:20" s="106" customFormat="1" ht="26.25" thickBot="1">
      <c r="A86" s="104" t="s">
        <v>109</v>
      </c>
      <c r="B86" s="44" t="s">
        <v>275</v>
      </c>
      <c r="C86" s="44" t="s">
        <v>276</v>
      </c>
      <c r="D86" s="45"/>
      <c r="E86" s="103" t="s">
        <v>295</v>
      </c>
      <c r="F86" s="45"/>
      <c r="G86" s="45" t="s">
        <v>296</v>
      </c>
      <c r="H86" s="45" t="s">
        <v>114</v>
      </c>
      <c r="I86" s="45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</row>
    <row r="87" spans="1:20" s="106" customFormat="1" ht="26.25" thickBot="1">
      <c r="A87" s="104" t="s">
        <v>109</v>
      </c>
      <c r="B87" s="44" t="s">
        <v>275</v>
      </c>
      <c r="C87" s="44" t="s">
        <v>276</v>
      </c>
      <c r="D87" s="45"/>
      <c r="E87" s="103" t="s">
        <v>297</v>
      </c>
      <c r="F87" s="45"/>
      <c r="G87" s="45" t="s">
        <v>298</v>
      </c>
      <c r="H87" s="45" t="s">
        <v>114</v>
      </c>
      <c r="I87" s="45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</row>
    <row r="88" spans="1:20" s="106" customFormat="1" ht="26.25" thickBot="1">
      <c r="A88" s="104" t="s">
        <v>109</v>
      </c>
      <c r="B88" s="44" t="s">
        <v>299</v>
      </c>
      <c r="C88" s="44" t="s">
        <v>300</v>
      </c>
      <c r="D88" s="45"/>
      <c r="E88" s="103" t="s">
        <v>301</v>
      </c>
      <c r="F88" s="45"/>
      <c r="G88" s="45" t="s">
        <v>302</v>
      </c>
      <c r="H88" s="45" t="s">
        <v>114</v>
      </c>
      <c r="I88" s="45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</row>
    <row r="89" spans="1:20" s="106" customFormat="1" ht="26.25" thickBot="1">
      <c r="A89" s="104" t="s">
        <v>109</v>
      </c>
      <c r="B89" s="44" t="s">
        <v>299</v>
      </c>
      <c r="C89" s="44" t="s">
        <v>300</v>
      </c>
      <c r="D89" s="45"/>
      <c r="E89" s="103" t="s">
        <v>303</v>
      </c>
      <c r="F89" s="45"/>
      <c r="G89" s="45" t="s">
        <v>304</v>
      </c>
      <c r="H89" s="45" t="s">
        <v>114</v>
      </c>
      <c r="I89" s="45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</row>
    <row r="90" spans="1:20" s="106" customFormat="1" ht="26.25" thickBot="1">
      <c r="A90" s="104" t="s">
        <v>109</v>
      </c>
      <c r="B90" s="44" t="s">
        <v>299</v>
      </c>
      <c r="C90" s="44" t="s">
        <v>300</v>
      </c>
      <c r="D90" s="45"/>
      <c r="E90" s="103" t="s">
        <v>305</v>
      </c>
      <c r="F90" s="45"/>
      <c r="G90" s="45" t="s">
        <v>306</v>
      </c>
      <c r="H90" s="45" t="s">
        <v>114</v>
      </c>
      <c r="I90" s="45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</row>
    <row r="91" spans="1:20" s="106" customFormat="1" ht="64.5" thickBot="1">
      <c r="A91" s="104" t="s">
        <v>109</v>
      </c>
      <c r="B91" s="44" t="s">
        <v>307</v>
      </c>
      <c r="C91" s="44" t="s">
        <v>308</v>
      </c>
      <c r="D91" s="45"/>
      <c r="E91" s="103" t="s">
        <v>309</v>
      </c>
      <c r="F91" s="45"/>
      <c r="G91" s="45" t="s">
        <v>310</v>
      </c>
      <c r="H91" s="45" t="s">
        <v>114</v>
      </c>
      <c r="I91" s="45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</row>
    <row r="92" spans="1:20" s="106" customFormat="1" ht="64.5" thickBot="1">
      <c r="A92" s="104" t="s">
        <v>109</v>
      </c>
      <c r="B92" s="44" t="s">
        <v>307</v>
      </c>
      <c r="C92" s="44" t="s">
        <v>308</v>
      </c>
      <c r="D92" s="45"/>
      <c r="E92" s="103" t="s">
        <v>311</v>
      </c>
      <c r="F92" s="45"/>
      <c r="G92" s="45" t="s">
        <v>312</v>
      </c>
      <c r="H92" s="45" t="s">
        <v>114</v>
      </c>
      <c r="I92" s="45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</row>
    <row r="93" spans="1:20" s="106" customFormat="1" ht="39" thickBot="1">
      <c r="A93" s="104" t="s">
        <v>109</v>
      </c>
      <c r="B93" s="44" t="s">
        <v>313</v>
      </c>
      <c r="C93" s="44" t="s">
        <v>314</v>
      </c>
      <c r="D93" s="45"/>
      <c r="E93" s="103" t="s">
        <v>315</v>
      </c>
      <c r="F93" s="45"/>
      <c r="G93" s="45" t="s">
        <v>316</v>
      </c>
      <c r="H93" s="45" t="s">
        <v>114</v>
      </c>
      <c r="I93" s="45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</row>
    <row r="94" spans="1:20" s="106" customFormat="1" ht="26.25" thickBot="1">
      <c r="A94" s="104" t="s">
        <v>109</v>
      </c>
      <c r="B94" s="44" t="s">
        <v>317</v>
      </c>
      <c r="C94" s="44" t="s">
        <v>318</v>
      </c>
      <c r="D94" s="45"/>
      <c r="E94" s="103" t="s">
        <v>319</v>
      </c>
      <c r="F94" s="45"/>
      <c r="G94" s="45" t="s">
        <v>320</v>
      </c>
      <c r="H94" s="45" t="s">
        <v>114</v>
      </c>
      <c r="I94" s="45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</row>
    <row r="95" spans="1:20" s="106" customFormat="1" ht="39" thickBot="1">
      <c r="A95" s="104" t="s">
        <v>109</v>
      </c>
      <c r="B95" s="44" t="s">
        <v>321</v>
      </c>
      <c r="C95" s="44" t="s">
        <v>322</v>
      </c>
      <c r="D95" s="44"/>
      <c r="E95" s="103" t="s">
        <v>323</v>
      </c>
      <c r="F95" s="44"/>
      <c r="G95" s="44" t="s">
        <v>324</v>
      </c>
      <c r="H95" s="45" t="s">
        <v>114</v>
      </c>
      <c r="I95" s="45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</row>
    <row r="96" spans="1:20" s="106" customFormat="1" ht="26.25" thickBot="1">
      <c r="A96" s="104" t="s">
        <v>109</v>
      </c>
      <c r="B96" s="44" t="s">
        <v>325</v>
      </c>
      <c r="C96" s="44" t="s">
        <v>326</v>
      </c>
      <c r="D96" s="44"/>
      <c r="E96" s="103" t="s">
        <v>327</v>
      </c>
      <c r="F96" s="44"/>
      <c r="G96" s="44" t="s">
        <v>328</v>
      </c>
      <c r="H96" s="45" t="s">
        <v>114</v>
      </c>
      <c r="I96" s="45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</row>
    <row r="97" spans="1:20" s="106" customFormat="1" ht="39" thickBot="1">
      <c r="A97" s="104" t="s">
        <v>109</v>
      </c>
      <c r="B97" s="44" t="s">
        <v>329</v>
      </c>
      <c r="C97" s="44" t="s">
        <v>330</v>
      </c>
      <c r="D97" s="44"/>
      <c r="E97" s="103" t="s">
        <v>331</v>
      </c>
      <c r="F97" s="44"/>
      <c r="G97" s="44" t="s">
        <v>332</v>
      </c>
      <c r="H97" s="45" t="s">
        <v>114</v>
      </c>
      <c r="I97" s="45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</row>
    <row r="98" spans="1:20" s="106" customFormat="1" ht="39" thickBot="1">
      <c r="A98" s="104" t="s">
        <v>109</v>
      </c>
      <c r="B98" s="44" t="s">
        <v>333</v>
      </c>
      <c r="C98" s="44" t="s">
        <v>334</v>
      </c>
      <c r="D98" s="44"/>
      <c r="E98" s="103" t="s">
        <v>335</v>
      </c>
      <c r="F98" s="44"/>
      <c r="G98" s="44" t="s">
        <v>336</v>
      </c>
      <c r="H98" s="45" t="s">
        <v>114</v>
      </c>
      <c r="I98" s="45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</row>
    <row r="99" spans="1:20" s="106" customFormat="1" ht="26.25" thickBot="1">
      <c r="A99" s="104" t="s">
        <v>109</v>
      </c>
      <c r="B99" s="44" t="s">
        <v>337</v>
      </c>
      <c r="C99" s="105" t="s">
        <v>338</v>
      </c>
      <c r="D99" s="45"/>
      <c r="E99" s="103" t="s">
        <v>339</v>
      </c>
      <c r="F99" s="45"/>
      <c r="G99" s="45" t="s">
        <v>340</v>
      </c>
      <c r="H99" s="45" t="s">
        <v>114</v>
      </c>
      <c r="I99" s="45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</row>
    <row r="100" spans="1:20" s="106" customFormat="1" ht="26.25" thickBot="1">
      <c r="A100" s="104" t="s">
        <v>109</v>
      </c>
      <c r="B100" s="44" t="s">
        <v>337</v>
      </c>
      <c r="C100" s="105" t="s">
        <v>341</v>
      </c>
      <c r="D100" s="45"/>
      <c r="E100" s="103" t="s">
        <v>342</v>
      </c>
      <c r="F100" s="45"/>
      <c r="G100" s="45" t="s">
        <v>343</v>
      </c>
      <c r="H100" s="45" t="s">
        <v>114</v>
      </c>
      <c r="I100" s="45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</row>
    <row r="101" spans="1:20" s="106" customFormat="1" ht="26.25" thickBot="1">
      <c r="A101" s="104" t="s">
        <v>109</v>
      </c>
      <c r="B101" s="44" t="s">
        <v>337</v>
      </c>
      <c r="C101" s="105" t="s">
        <v>344</v>
      </c>
      <c r="D101" s="45"/>
      <c r="E101" s="103" t="s">
        <v>345</v>
      </c>
      <c r="F101" s="45"/>
      <c r="G101" s="45" t="s">
        <v>346</v>
      </c>
      <c r="H101" s="45" t="s">
        <v>114</v>
      </c>
      <c r="I101" s="45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</row>
    <row r="102" spans="1:20" s="106" customFormat="1" ht="26.25" thickBot="1">
      <c r="A102" s="104" t="s">
        <v>109</v>
      </c>
      <c r="B102" s="44" t="s">
        <v>347</v>
      </c>
      <c r="C102" s="44" t="s">
        <v>348</v>
      </c>
      <c r="D102" s="45"/>
      <c r="E102" s="103" t="s">
        <v>349</v>
      </c>
      <c r="F102" s="45"/>
      <c r="G102" s="45" t="s">
        <v>350</v>
      </c>
      <c r="H102" s="45" t="s">
        <v>114</v>
      </c>
      <c r="I102" s="45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</row>
    <row r="103" spans="1:20" s="106" customFormat="1" ht="26.25" thickBot="1">
      <c r="A103" s="104" t="s">
        <v>109</v>
      </c>
      <c r="B103" s="44" t="s">
        <v>347</v>
      </c>
      <c r="C103" s="44" t="s">
        <v>348</v>
      </c>
      <c r="D103" s="45"/>
      <c r="E103" s="103" t="s">
        <v>351</v>
      </c>
      <c r="F103" s="45"/>
      <c r="G103" s="45" t="s">
        <v>352</v>
      </c>
      <c r="H103" s="45" t="s">
        <v>114</v>
      </c>
      <c r="I103" s="45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</row>
    <row r="104" spans="1:20" s="106" customFormat="1" ht="26.25" thickBot="1">
      <c r="A104" s="104" t="s">
        <v>109</v>
      </c>
      <c r="B104" s="44" t="s">
        <v>347</v>
      </c>
      <c r="C104" s="44" t="s">
        <v>348</v>
      </c>
      <c r="D104" s="45"/>
      <c r="E104" s="103" t="s">
        <v>353</v>
      </c>
      <c r="F104" s="45"/>
      <c r="G104" s="45" t="s">
        <v>354</v>
      </c>
      <c r="H104" s="45" t="s">
        <v>114</v>
      </c>
      <c r="I104" s="45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</row>
    <row r="105" spans="1:20" s="106" customFormat="1" ht="26.25" thickBot="1">
      <c r="A105" s="104" t="s">
        <v>109</v>
      </c>
      <c r="B105" s="44" t="s">
        <v>347</v>
      </c>
      <c r="C105" s="44" t="s">
        <v>348</v>
      </c>
      <c r="D105" s="45"/>
      <c r="E105" s="103" t="s">
        <v>355</v>
      </c>
      <c r="F105" s="45"/>
      <c r="G105" s="45" t="s">
        <v>356</v>
      </c>
      <c r="H105" s="45" t="s">
        <v>114</v>
      </c>
      <c r="I105" s="45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</row>
    <row r="106" spans="1:20" s="106" customFormat="1" ht="26.25" thickBot="1">
      <c r="A106" s="104" t="s">
        <v>109</v>
      </c>
      <c r="B106" s="44" t="s">
        <v>347</v>
      </c>
      <c r="C106" s="44" t="s">
        <v>348</v>
      </c>
      <c r="D106" s="45"/>
      <c r="E106" s="103" t="s">
        <v>357</v>
      </c>
      <c r="F106" s="45"/>
      <c r="G106" s="45" t="s">
        <v>358</v>
      </c>
      <c r="H106" s="45" t="s">
        <v>114</v>
      </c>
      <c r="I106" s="45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</row>
    <row r="107" spans="1:20" s="106" customFormat="1" ht="26.25" thickBot="1">
      <c r="A107" s="104" t="s">
        <v>109</v>
      </c>
      <c r="B107" s="44" t="s">
        <v>347</v>
      </c>
      <c r="C107" s="44" t="s">
        <v>348</v>
      </c>
      <c r="D107" s="45"/>
      <c r="E107" s="103" t="s">
        <v>359</v>
      </c>
      <c r="F107" s="45"/>
      <c r="G107" s="45" t="s">
        <v>360</v>
      </c>
      <c r="H107" s="45" t="s">
        <v>114</v>
      </c>
      <c r="I107" s="45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</row>
    <row r="108" spans="1:20" s="106" customFormat="1" ht="26.25" thickBot="1">
      <c r="A108" s="104" t="s">
        <v>109</v>
      </c>
      <c r="B108" s="44" t="s">
        <v>347</v>
      </c>
      <c r="C108" s="44" t="s">
        <v>348</v>
      </c>
      <c r="D108" s="45"/>
      <c r="E108" s="103" t="s">
        <v>361</v>
      </c>
      <c r="F108" s="45"/>
      <c r="G108" s="45" t="s">
        <v>362</v>
      </c>
      <c r="H108" s="45" t="s">
        <v>114</v>
      </c>
      <c r="I108" s="45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</row>
    <row r="109" spans="1:20" s="106" customFormat="1" ht="26.25" thickBot="1">
      <c r="A109" s="104" t="s">
        <v>109</v>
      </c>
      <c r="B109" s="44" t="s">
        <v>347</v>
      </c>
      <c r="C109" s="44" t="s">
        <v>348</v>
      </c>
      <c r="D109" s="45"/>
      <c r="E109" s="103" t="s">
        <v>363</v>
      </c>
      <c r="F109" s="45"/>
      <c r="G109" s="45" t="s">
        <v>364</v>
      </c>
      <c r="H109" s="45" t="s">
        <v>114</v>
      </c>
      <c r="I109" s="45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</row>
    <row r="110" spans="1:20" s="106" customFormat="1" ht="26.25" thickBot="1">
      <c r="A110" s="104" t="s">
        <v>109</v>
      </c>
      <c r="B110" s="44" t="s">
        <v>347</v>
      </c>
      <c r="C110" s="44" t="s">
        <v>348</v>
      </c>
      <c r="D110" s="45"/>
      <c r="E110" s="103" t="s">
        <v>365</v>
      </c>
      <c r="F110" s="45"/>
      <c r="G110" s="45" t="s">
        <v>366</v>
      </c>
      <c r="H110" s="45" t="s">
        <v>114</v>
      </c>
      <c r="I110" s="45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</row>
    <row r="111" spans="1:20" s="106" customFormat="1" ht="26.25" thickBot="1">
      <c r="A111" s="104" t="s">
        <v>109</v>
      </c>
      <c r="B111" s="44" t="s">
        <v>347</v>
      </c>
      <c r="C111" s="44" t="s">
        <v>348</v>
      </c>
      <c r="D111" s="45"/>
      <c r="E111" s="103" t="s">
        <v>367</v>
      </c>
      <c r="F111" s="45"/>
      <c r="G111" s="45" t="s">
        <v>368</v>
      </c>
      <c r="H111" s="45" t="s">
        <v>114</v>
      </c>
      <c r="I111" s="45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</row>
    <row r="112" spans="1:20" s="106" customFormat="1" ht="26.25" thickBot="1">
      <c r="A112" s="104" t="s">
        <v>109</v>
      </c>
      <c r="B112" s="44" t="s">
        <v>347</v>
      </c>
      <c r="C112" s="44" t="s">
        <v>348</v>
      </c>
      <c r="D112" s="45"/>
      <c r="E112" s="103" t="s">
        <v>369</v>
      </c>
      <c r="F112" s="45"/>
      <c r="G112" s="45" t="s">
        <v>370</v>
      </c>
      <c r="H112" s="45" t="s">
        <v>114</v>
      </c>
      <c r="I112" s="45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</row>
    <row r="113" spans="1:20" s="106" customFormat="1" ht="26.25" thickBot="1">
      <c r="A113" s="104" t="s">
        <v>109</v>
      </c>
      <c r="B113" s="44" t="s">
        <v>347</v>
      </c>
      <c r="C113" s="44" t="s">
        <v>348</v>
      </c>
      <c r="D113" s="45"/>
      <c r="E113" s="103" t="s">
        <v>371</v>
      </c>
      <c r="F113" s="45"/>
      <c r="G113" s="45" t="s">
        <v>372</v>
      </c>
      <c r="H113" s="45" t="s">
        <v>114</v>
      </c>
      <c r="I113" s="45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</row>
    <row r="114" spans="1:20" s="106" customFormat="1" ht="26.25" thickBot="1">
      <c r="A114" s="104" t="s">
        <v>109</v>
      </c>
      <c r="B114" s="44" t="s">
        <v>347</v>
      </c>
      <c r="C114" s="44" t="s">
        <v>348</v>
      </c>
      <c r="D114" s="45"/>
      <c r="E114" s="103" t="s">
        <v>373</v>
      </c>
      <c r="F114" s="45"/>
      <c r="G114" s="45" t="s">
        <v>374</v>
      </c>
      <c r="H114" s="45" t="s">
        <v>114</v>
      </c>
      <c r="I114" s="45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</row>
    <row r="115" spans="1:20" s="106" customFormat="1" ht="26.25" thickBot="1">
      <c r="A115" s="104" t="s">
        <v>109</v>
      </c>
      <c r="B115" s="44" t="s">
        <v>347</v>
      </c>
      <c r="C115" s="44" t="s">
        <v>348</v>
      </c>
      <c r="D115" s="45"/>
      <c r="E115" s="103" t="s">
        <v>375</v>
      </c>
      <c r="F115" s="45"/>
      <c r="G115" s="45" t="s">
        <v>376</v>
      </c>
      <c r="H115" s="45" t="s">
        <v>114</v>
      </c>
      <c r="I115" s="45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</row>
    <row r="116" spans="1:20" s="106" customFormat="1" ht="39" thickBot="1">
      <c r="A116" s="104" t="s">
        <v>377</v>
      </c>
      <c r="B116" s="44" t="s">
        <v>378</v>
      </c>
      <c r="C116" s="44" t="s">
        <v>379</v>
      </c>
      <c r="D116" s="45"/>
      <c r="E116" s="103" t="s">
        <v>380</v>
      </c>
      <c r="F116" s="45"/>
      <c r="G116" s="45" t="s">
        <v>381</v>
      </c>
      <c r="H116" s="45" t="s">
        <v>114</v>
      </c>
      <c r="I116" s="45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</row>
    <row r="117" spans="1:20" s="106" customFormat="1" ht="39" thickBot="1">
      <c r="A117" s="104" t="s">
        <v>377</v>
      </c>
      <c r="B117" s="44" t="s">
        <v>378</v>
      </c>
      <c r="C117" s="44" t="s">
        <v>379</v>
      </c>
      <c r="D117" s="45"/>
      <c r="E117" s="103" t="s">
        <v>382</v>
      </c>
      <c r="F117" s="45"/>
      <c r="G117" s="45" t="s">
        <v>383</v>
      </c>
      <c r="H117" s="45" t="s">
        <v>114</v>
      </c>
      <c r="I117" s="45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</row>
    <row r="118" spans="1:20" s="106" customFormat="1" ht="39" thickBot="1">
      <c r="A118" s="104" t="s">
        <v>377</v>
      </c>
      <c r="B118" s="44" t="s">
        <v>378</v>
      </c>
      <c r="C118" s="44" t="s">
        <v>379</v>
      </c>
      <c r="D118" s="45"/>
      <c r="E118" s="103" t="s">
        <v>384</v>
      </c>
      <c r="F118" s="45"/>
      <c r="G118" s="45" t="s">
        <v>385</v>
      </c>
      <c r="H118" s="45" t="s">
        <v>114</v>
      </c>
      <c r="I118" s="45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</row>
    <row r="119" spans="1:20" s="106" customFormat="1" ht="39" thickBot="1">
      <c r="A119" s="104" t="s">
        <v>377</v>
      </c>
      <c r="B119" s="44" t="s">
        <v>378</v>
      </c>
      <c r="C119" s="44" t="s">
        <v>379</v>
      </c>
      <c r="D119" s="45"/>
      <c r="E119" s="103" t="s">
        <v>386</v>
      </c>
      <c r="F119" s="45"/>
      <c r="G119" s="45" t="s">
        <v>387</v>
      </c>
      <c r="H119" s="45" t="s">
        <v>114</v>
      </c>
      <c r="I119" s="45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</row>
    <row r="120" spans="1:20" s="106" customFormat="1" ht="39" thickBot="1">
      <c r="A120" s="104" t="s">
        <v>377</v>
      </c>
      <c r="B120" s="44" t="s">
        <v>378</v>
      </c>
      <c r="C120" s="44" t="s">
        <v>379</v>
      </c>
      <c r="D120" s="45"/>
      <c r="E120" s="103" t="s">
        <v>388</v>
      </c>
      <c r="F120" s="45"/>
      <c r="G120" s="45" t="s">
        <v>389</v>
      </c>
      <c r="H120" s="45" t="s">
        <v>114</v>
      </c>
      <c r="I120" s="45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</row>
    <row r="121" spans="1:20" s="106" customFormat="1" ht="39" thickBot="1">
      <c r="A121" s="104" t="s">
        <v>377</v>
      </c>
      <c r="B121" s="44" t="s">
        <v>378</v>
      </c>
      <c r="C121" s="44" t="s">
        <v>379</v>
      </c>
      <c r="D121" s="45"/>
      <c r="E121" s="103" t="s">
        <v>390</v>
      </c>
      <c r="F121" s="45"/>
      <c r="G121" s="45" t="s">
        <v>391</v>
      </c>
      <c r="H121" s="45" t="s">
        <v>114</v>
      </c>
      <c r="I121" s="45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</row>
    <row r="122" spans="1:20" s="106" customFormat="1" ht="39" thickBot="1">
      <c r="A122" s="104" t="s">
        <v>377</v>
      </c>
      <c r="B122" s="44" t="s">
        <v>378</v>
      </c>
      <c r="C122" s="44" t="s">
        <v>379</v>
      </c>
      <c r="D122" s="45"/>
      <c r="E122" s="103" t="s">
        <v>392</v>
      </c>
      <c r="F122" s="45"/>
      <c r="G122" s="45" t="s">
        <v>393</v>
      </c>
      <c r="H122" s="45" t="s">
        <v>114</v>
      </c>
      <c r="I122" s="45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</row>
    <row r="123" spans="1:20" s="106" customFormat="1" ht="39" thickBot="1">
      <c r="A123" s="104" t="s">
        <v>377</v>
      </c>
      <c r="B123" s="44" t="s">
        <v>378</v>
      </c>
      <c r="C123" s="44" t="s">
        <v>379</v>
      </c>
      <c r="D123" s="45"/>
      <c r="E123" s="103" t="s">
        <v>394</v>
      </c>
      <c r="F123" s="45"/>
      <c r="G123" s="45" t="s">
        <v>395</v>
      </c>
      <c r="H123" s="45" t="s">
        <v>114</v>
      </c>
      <c r="I123" s="45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</row>
    <row r="124" spans="1:20" s="106" customFormat="1" ht="39" thickBot="1">
      <c r="A124" s="104" t="s">
        <v>377</v>
      </c>
      <c r="B124" s="44" t="s">
        <v>378</v>
      </c>
      <c r="C124" s="44" t="s">
        <v>379</v>
      </c>
      <c r="D124" s="45"/>
      <c r="E124" s="103" t="s">
        <v>396</v>
      </c>
      <c r="F124" s="45"/>
      <c r="G124" s="45" t="s">
        <v>397</v>
      </c>
      <c r="H124" s="45" t="s">
        <v>114</v>
      </c>
      <c r="I124" s="45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</row>
    <row r="125" spans="1:20" s="106" customFormat="1" ht="39" thickBot="1">
      <c r="A125" s="104" t="s">
        <v>377</v>
      </c>
      <c r="B125" s="44" t="s">
        <v>378</v>
      </c>
      <c r="C125" s="44" t="s">
        <v>379</v>
      </c>
      <c r="D125" s="45"/>
      <c r="E125" s="103" t="s">
        <v>398</v>
      </c>
      <c r="F125" s="45"/>
      <c r="G125" s="45" t="s">
        <v>399</v>
      </c>
      <c r="H125" s="45" t="s">
        <v>114</v>
      </c>
      <c r="I125" s="45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</row>
    <row r="126" spans="1:20" s="106" customFormat="1" ht="39" thickBot="1">
      <c r="A126" s="104" t="s">
        <v>377</v>
      </c>
      <c r="B126" s="44" t="s">
        <v>378</v>
      </c>
      <c r="C126" s="44" t="s">
        <v>379</v>
      </c>
      <c r="D126" s="45"/>
      <c r="E126" s="103" t="s">
        <v>400</v>
      </c>
      <c r="F126" s="45"/>
      <c r="G126" s="45" t="s">
        <v>401</v>
      </c>
      <c r="H126" s="45" t="s">
        <v>114</v>
      </c>
      <c r="I126" s="45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</row>
    <row r="127" spans="1:20" s="106" customFormat="1" ht="39" thickBot="1">
      <c r="A127" s="104" t="s">
        <v>377</v>
      </c>
      <c r="B127" s="44" t="s">
        <v>378</v>
      </c>
      <c r="C127" s="44" t="s">
        <v>379</v>
      </c>
      <c r="D127" s="45"/>
      <c r="E127" s="103" t="s">
        <v>402</v>
      </c>
      <c r="F127" s="45"/>
      <c r="G127" s="45" t="s">
        <v>403</v>
      </c>
      <c r="H127" s="45" t="s">
        <v>114</v>
      </c>
      <c r="I127" s="45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</row>
    <row r="128" spans="1:20" s="106" customFormat="1" ht="39" thickBot="1">
      <c r="A128" s="104" t="s">
        <v>377</v>
      </c>
      <c r="B128" s="44" t="s">
        <v>378</v>
      </c>
      <c r="C128" s="44" t="s">
        <v>379</v>
      </c>
      <c r="D128" s="45"/>
      <c r="E128" s="103" t="s">
        <v>404</v>
      </c>
      <c r="F128" s="45"/>
      <c r="G128" s="45" t="s">
        <v>405</v>
      </c>
      <c r="H128" s="45" t="s">
        <v>114</v>
      </c>
      <c r="I128" s="45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</row>
    <row r="129" spans="1:20" s="106" customFormat="1" ht="39" thickBot="1">
      <c r="A129" s="104" t="s">
        <v>377</v>
      </c>
      <c r="B129" s="44" t="s">
        <v>378</v>
      </c>
      <c r="C129" s="44" t="s">
        <v>379</v>
      </c>
      <c r="D129" s="45"/>
      <c r="E129" s="103" t="s">
        <v>406</v>
      </c>
      <c r="F129" s="45"/>
      <c r="G129" s="45" t="s">
        <v>407</v>
      </c>
      <c r="H129" s="45" t="s">
        <v>114</v>
      </c>
      <c r="I129" s="45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</row>
    <row r="130" spans="1:20" s="106" customFormat="1" ht="39" thickBot="1">
      <c r="A130" s="104" t="s">
        <v>377</v>
      </c>
      <c r="B130" s="44" t="s">
        <v>378</v>
      </c>
      <c r="C130" s="44" t="s">
        <v>379</v>
      </c>
      <c r="D130" s="45"/>
      <c r="E130" s="103" t="s">
        <v>408</v>
      </c>
      <c r="F130" s="45"/>
      <c r="G130" s="45" t="s">
        <v>409</v>
      </c>
      <c r="H130" s="45" t="s">
        <v>114</v>
      </c>
      <c r="I130" s="45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</row>
    <row r="131" spans="1:20" s="106" customFormat="1" ht="39" thickBot="1">
      <c r="A131" s="104" t="s">
        <v>377</v>
      </c>
      <c r="B131" s="44" t="s">
        <v>378</v>
      </c>
      <c r="C131" s="44" t="s">
        <v>379</v>
      </c>
      <c r="D131" s="45"/>
      <c r="E131" s="103" t="s">
        <v>410</v>
      </c>
      <c r="F131" s="45"/>
      <c r="G131" s="45" t="s">
        <v>411</v>
      </c>
      <c r="H131" s="45" t="s">
        <v>114</v>
      </c>
      <c r="I131" s="45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</row>
    <row r="132" spans="1:20" s="106" customFormat="1" ht="39" thickBot="1">
      <c r="A132" s="104" t="s">
        <v>377</v>
      </c>
      <c r="B132" s="44" t="s">
        <v>412</v>
      </c>
      <c r="C132" s="44" t="s">
        <v>413</v>
      </c>
      <c r="D132" s="45"/>
      <c r="E132" s="103" t="s">
        <v>414</v>
      </c>
      <c r="F132" s="45"/>
      <c r="G132" s="45" t="s">
        <v>415</v>
      </c>
      <c r="H132" s="45" t="s">
        <v>114</v>
      </c>
      <c r="I132" s="45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</row>
    <row r="133" spans="1:20" s="106" customFormat="1" ht="26.25" thickBot="1">
      <c r="A133" s="104" t="s">
        <v>377</v>
      </c>
      <c r="B133" s="44" t="s">
        <v>416</v>
      </c>
      <c r="C133" s="44" t="s">
        <v>417</v>
      </c>
      <c r="D133" s="45"/>
      <c r="E133" s="103" t="s">
        <v>418</v>
      </c>
      <c r="F133" s="45"/>
      <c r="G133" s="45" t="s">
        <v>419</v>
      </c>
      <c r="H133" s="45" t="s">
        <v>114</v>
      </c>
      <c r="I133" s="45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</row>
    <row r="134" spans="1:20" s="106" customFormat="1" ht="26.25" thickBot="1">
      <c r="A134" s="104" t="s">
        <v>377</v>
      </c>
      <c r="B134" s="44" t="s">
        <v>416</v>
      </c>
      <c r="C134" s="44" t="s">
        <v>417</v>
      </c>
      <c r="D134" s="45"/>
      <c r="E134" s="103" t="s">
        <v>420</v>
      </c>
      <c r="F134" s="45"/>
      <c r="G134" s="45" t="s">
        <v>421</v>
      </c>
      <c r="H134" s="45" t="s">
        <v>114</v>
      </c>
      <c r="I134" s="45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</row>
    <row r="135" spans="1:20" s="106" customFormat="1" ht="26.25" thickBot="1">
      <c r="A135" s="104" t="s">
        <v>377</v>
      </c>
      <c r="B135" s="44" t="s">
        <v>422</v>
      </c>
      <c r="C135" s="44"/>
      <c r="D135" s="45"/>
      <c r="E135" s="103" t="s">
        <v>423</v>
      </c>
      <c r="F135" s="45"/>
      <c r="G135" s="45" t="s">
        <v>424</v>
      </c>
      <c r="H135" s="45" t="s">
        <v>425</v>
      </c>
      <c r="I135" s="45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</row>
    <row r="136" spans="1:20" s="106" customFormat="1" ht="26.25" thickBot="1">
      <c r="A136" s="104" t="s">
        <v>377</v>
      </c>
      <c r="B136" s="44" t="s">
        <v>422</v>
      </c>
      <c r="C136" s="44"/>
      <c r="D136" s="45"/>
      <c r="E136" s="103" t="s">
        <v>426</v>
      </c>
      <c r="F136" s="45"/>
      <c r="G136" s="45" t="s">
        <v>427</v>
      </c>
      <c r="H136" s="45" t="s">
        <v>425</v>
      </c>
      <c r="I136" s="45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</row>
    <row r="137" spans="1:20" s="106" customFormat="1" ht="26.25" thickBot="1">
      <c r="A137" s="104" t="s">
        <v>377</v>
      </c>
      <c r="B137" s="44" t="s">
        <v>422</v>
      </c>
      <c r="C137" s="44"/>
      <c r="D137" s="45"/>
      <c r="E137" s="103" t="s">
        <v>428</v>
      </c>
      <c r="F137" s="45"/>
      <c r="G137" s="45" t="s">
        <v>429</v>
      </c>
      <c r="H137" s="45" t="s">
        <v>425</v>
      </c>
      <c r="I137" s="45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</row>
    <row r="138" spans="1:20" s="106" customFormat="1" ht="26.25" thickBot="1">
      <c r="A138" s="104" t="s">
        <v>377</v>
      </c>
      <c r="B138" s="44" t="s">
        <v>430</v>
      </c>
      <c r="C138" s="44" t="s">
        <v>431</v>
      </c>
      <c r="D138" s="45"/>
      <c r="E138" s="103" t="s">
        <v>432</v>
      </c>
      <c r="F138" s="45"/>
      <c r="G138" s="45" t="s">
        <v>433</v>
      </c>
      <c r="H138" s="45" t="s">
        <v>114</v>
      </c>
      <c r="I138" s="45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</row>
    <row r="139" spans="1:20" s="106" customFormat="1" ht="26.25" thickBot="1">
      <c r="A139" s="104" t="s">
        <v>377</v>
      </c>
      <c r="B139" s="45" t="s">
        <v>434</v>
      </c>
      <c r="C139" s="44" t="s">
        <v>435</v>
      </c>
      <c r="D139" s="45"/>
      <c r="E139" s="103" t="s">
        <v>436</v>
      </c>
      <c r="F139" s="45"/>
      <c r="G139" s="45" t="s">
        <v>437</v>
      </c>
      <c r="H139" s="45" t="s">
        <v>114</v>
      </c>
      <c r="I139" s="45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</row>
    <row r="140" spans="1:20" s="106" customFormat="1" ht="26.25" thickBot="1">
      <c r="A140" s="104" t="s">
        <v>377</v>
      </c>
      <c r="B140" s="44" t="s">
        <v>438</v>
      </c>
      <c r="C140" s="44" t="s">
        <v>439</v>
      </c>
      <c r="D140" s="44"/>
      <c r="E140" s="103" t="s">
        <v>440</v>
      </c>
      <c r="F140" s="44"/>
      <c r="G140" s="44" t="s">
        <v>441</v>
      </c>
      <c r="H140" s="45" t="s">
        <v>114</v>
      </c>
      <c r="I140" s="45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</row>
    <row r="141" spans="1:20" s="106" customFormat="1" ht="39" thickBot="1">
      <c r="A141" s="104" t="s">
        <v>377</v>
      </c>
      <c r="B141" s="44" t="s">
        <v>442</v>
      </c>
      <c r="C141" s="44" t="s">
        <v>443</v>
      </c>
      <c r="D141" s="44"/>
      <c r="E141" s="103" t="s">
        <v>444</v>
      </c>
      <c r="F141" s="44"/>
      <c r="G141" s="44" t="s">
        <v>445</v>
      </c>
      <c r="H141" s="45" t="s">
        <v>114</v>
      </c>
      <c r="I141" s="45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</row>
    <row r="142" spans="1:20" s="106" customFormat="1" ht="51.75" thickBot="1">
      <c r="A142" s="104" t="s">
        <v>377</v>
      </c>
      <c r="B142" s="44" t="s">
        <v>442</v>
      </c>
      <c r="C142" s="44" t="s">
        <v>443</v>
      </c>
      <c r="D142" s="44"/>
      <c r="E142" s="103" t="s">
        <v>446</v>
      </c>
      <c r="F142" s="44"/>
      <c r="G142" s="44" t="s">
        <v>447</v>
      </c>
      <c r="H142" s="45" t="s">
        <v>114</v>
      </c>
      <c r="I142" s="45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</row>
    <row r="143" spans="1:20" s="106" customFormat="1" ht="39" thickBot="1">
      <c r="A143" s="104" t="s">
        <v>377</v>
      </c>
      <c r="B143" s="44" t="s">
        <v>448</v>
      </c>
      <c r="C143" s="44" t="s">
        <v>443</v>
      </c>
      <c r="D143" s="45"/>
      <c r="E143" s="103" t="s">
        <v>449</v>
      </c>
      <c r="F143" s="45"/>
      <c r="G143" s="44" t="s">
        <v>450</v>
      </c>
      <c r="H143" s="45" t="s">
        <v>114</v>
      </c>
      <c r="I143" s="45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</row>
    <row r="144" spans="1:20" s="106" customFormat="1" ht="39" thickBot="1">
      <c r="A144" s="104" t="s">
        <v>377</v>
      </c>
      <c r="B144" s="44" t="s">
        <v>448</v>
      </c>
      <c r="C144" s="44" t="s">
        <v>443</v>
      </c>
      <c r="D144" s="45"/>
      <c r="E144" s="103" t="s">
        <v>451</v>
      </c>
      <c r="F144" s="45"/>
      <c r="G144" s="44" t="s">
        <v>452</v>
      </c>
      <c r="H144" s="45" t="s">
        <v>114</v>
      </c>
      <c r="I144" s="45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</row>
    <row r="145" spans="1:20" s="106" customFormat="1" ht="39" thickBot="1">
      <c r="A145" s="104" t="s">
        <v>377</v>
      </c>
      <c r="B145" s="44" t="s">
        <v>442</v>
      </c>
      <c r="C145" s="44" t="s">
        <v>443</v>
      </c>
      <c r="D145" s="45"/>
      <c r="E145" s="103" t="s">
        <v>453</v>
      </c>
      <c r="F145" s="45"/>
      <c r="G145" s="44" t="s">
        <v>454</v>
      </c>
      <c r="H145" s="45" t="s">
        <v>114</v>
      </c>
      <c r="I145" s="45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</row>
    <row r="146" spans="1:20" s="106" customFormat="1" ht="26.25" thickBot="1">
      <c r="A146" s="104" t="s">
        <v>377</v>
      </c>
      <c r="B146" s="44" t="s">
        <v>455</v>
      </c>
      <c r="C146" s="105" t="s">
        <v>456</v>
      </c>
      <c r="D146" s="45"/>
      <c r="E146" s="103" t="s">
        <v>457</v>
      </c>
      <c r="F146" s="45"/>
      <c r="G146" s="45" t="s">
        <v>458</v>
      </c>
      <c r="H146" s="45" t="s">
        <v>114</v>
      </c>
      <c r="I146" s="45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</row>
    <row r="147" spans="1:20" s="106" customFormat="1" ht="39" thickBot="1">
      <c r="A147" s="104" t="s">
        <v>377</v>
      </c>
      <c r="B147" s="44" t="s">
        <v>459</v>
      </c>
      <c r="C147" s="44" t="s">
        <v>460</v>
      </c>
      <c r="D147" s="44"/>
      <c r="E147" s="103" t="s">
        <v>461</v>
      </c>
      <c r="F147" s="44"/>
      <c r="G147" s="44" t="s">
        <v>462</v>
      </c>
      <c r="H147" s="45" t="s">
        <v>114</v>
      </c>
      <c r="I147" s="45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</row>
    <row r="148" spans="1:20" s="106" customFormat="1" ht="39" thickBot="1">
      <c r="A148" s="104" t="s">
        <v>377</v>
      </c>
      <c r="B148" s="44" t="s">
        <v>463</v>
      </c>
      <c r="C148" s="44" t="s">
        <v>443</v>
      </c>
      <c r="D148" s="44"/>
      <c r="E148" s="103" t="s">
        <v>464</v>
      </c>
      <c r="F148" s="44"/>
      <c r="G148" s="44" t="s">
        <v>445</v>
      </c>
      <c r="H148" s="45" t="s">
        <v>114</v>
      </c>
      <c r="I148" s="45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</row>
    <row r="149" spans="1:20" s="106" customFormat="1" ht="51.75" thickBot="1">
      <c r="A149" s="104" t="s">
        <v>377</v>
      </c>
      <c r="B149" s="44" t="s">
        <v>463</v>
      </c>
      <c r="C149" s="44" t="s">
        <v>443</v>
      </c>
      <c r="D149" s="44"/>
      <c r="E149" s="103" t="s">
        <v>465</v>
      </c>
      <c r="F149" s="44"/>
      <c r="G149" s="44" t="s">
        <v>447</v>
      </c>
      <c r="H149" s="45" t="s">
        <v>114</v>
      </c>
      <c r="I149" s="45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</row>
    <row r="150" spans="1:20" s="106" customFormat="1" ht="39" thickBot="1">
      <c r="A150" s="104" t="s">
        <v>377</v>
      </c>
      <c r="B150" s="44" t="s">
        <v>463</v>
      </c>
      <c r="C150" s="44" t="s">
        <v>443</v>
      </c>
      <c r="D150" s="44"/>
      <c r="E150" s="103" t="s">
        <v>466</v>
      </c>
      <c r="F150" s="44"/>
      <c r="G150" s="44" t="s">
        <v>454</v>
      </c>
      <c r="H150" s="45" t="s">
        <v>114</v>
      </c>
      <c r="I150" s="45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</row>
    <row r="151" spans="1:20" s="106" customFormat="1" ht="64.5" thickBot="1">
      <c r="A151" s="104" t="s">
        <v>377</v>
      </c>
      <c r="B151" s="44" t="s">
        <v>467</v>
      </c>
      <c r="C151" s="44" t="s">
        <v>468</v>
      </c>
      <c r="D151" s="44"/>
      <c r="E151" s="103" t="s">
        <v>469</v>
      </c>
      <c r="F151" s="44"/>
      <c r="G151" s="44" t="s">
        <v>470</v>
      </c>
      <c r="H151" s="45" t="s">
        <v>114</v>
      </c>
      <c r="I151" s="45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</row>
    <row r="152" spans="1:20" s="106" customFormat="1" ht="26.25" thickBot="1">
      <c r="A152" s="104" t="s">
        <v>377</v>
      </c>
      <c r="B152" s="44" t="s">
        <v>467</v>
      </c>
      <c r="C152" s="44" t="s">
        <v>471</v>
      </c>
      <c r="D152" s="44"/>
      <c r="E152" s="103" t="s">
        <v>472</v>
      </c>
      <c r="F152" s="44"/>
      <c r="G152" s="44" t="s">
        <v>473</v>
      </c>
      <c r="H152" s="45" t="s">
        <v>114</v>
      </c>
      <c r="I152" s="45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</row>
    <row r="153" spans="1:20" s="106" customFormat="1" ht="26.25" thickBot="1">
      <c r="A153" s="104" t="s">
        <v>377</v>
      </c>
      <c r="B153" s="44" t="s">
        <v>467</v>
      </c>
      <c r="C153" s="44" t="s">
        <v>474</v>
      </c>
      <c r="D153" s="44"/>
      <c r="E153" s="103" t="s">
        <v>475</v>
      </c>
      <c r="F153" s="44"/>
      <c r="G153" s="44" t="s">
        <v>476</v>
      </c>
      <c r="H153" s="45" t="s">
        <v>114</v>
      </c>
      <c r="I153" s="45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</row>
    <row r="154" spans="1:20" s="106" customFormat="1" ht="26.25" thickBot="1">
      <c r="A154" s="104" t="s">
        <v>377</v>
      </c>
      <c r="B154" s="44" t="s">
        <v>467</v>
      </c>
      <c r="C154" s="44" t="s">
        <v>477</v>
      </c>
      <c r="D154" s="44"/>
      <c r="E154" s="103" t="s">
        <v>478</v>
      </c>
      <c r="F154" s="44"/>
      <c r="G154" s="44" t="s">
        <v>479</v>
      </c>
      <c r="H154" s="45" t="s">
        <v>114</v>
      </c>
      <c r="I154" s="45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</row>
    <row r="155" spans="1:20" s="106" customFormat="1" ht="26.25" thickBot="1">
      <c r="A155" s="104" t="s">
        <v>377</v>
      </c>
      <c r="B155" s="44" t="s">
        <v>480</v>
      </c>
      <c r="C155" s="44" t="s">
        <v>456</v>
      </c>
      <c r="D155" s="44"/>
      <c r="E155" s="103" t="s">
        <v>481</v>
      </c>
      <c r="F155" s="44"/>
      <c r="G155" s="44" t="s">
        <v>482</v>
      </c>
      <c r="H155" s="45" t="s">
        <v>114</v>
      </c>
      <c r="I155" s="45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</row>
    <row r="156" spans="1:20" s="106" customFormat="1" ht="26.25" thickBot="1">
      <c r="A156" s="104" t="s">
        <v>377</v>
      </c>
      <c r="B156" s="44" t="s">
        <v>480</v>
      </c>
      <c r="C156" s="44" t="s">
        <v>483</v>
      </c>
      <c r="D156" s="44"/>
      <c r="E156" s="103" t="s">
        <v>484</v>
      </c>
      <c r="F156" s="44"/>
      <c r="G156" s="44" t="s">
        <v>485</v>
      </c>
      <c r="H156" s="45" t="s">
        <v>114</v>
      </c>
      <c r="I156" s="45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</row>
    <row r="157" spans="1:20" s="106" customFormat="1" ht="26.25" thickBot="1">
      <c r="A157" s="104" t="s">
        <v>377</v>
      </c>
      <c r="B157" s="44" t="s">
        <v>486</v>
      </c>
      <c r="C157" s="44" t="s">
        <v>487</v>
      </c>
      <c r="D157" s="44"/>
      <c r="E157" s="103" t="s">
        <v>488</v>
      </c>
      <c r="F157" s="44"/>
      <c r="G157" s="44" t="s">
        <v>489</v>
      </c>
      <c r="H157" s="45" t="s">
        <v>114</v>
      </c>
      <c r="I157" s="45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</row>
    <row r="158" spans="1:20" s="106" customFormat="1" ht="26.25" thickBot="1">
      <c r="A158" s="104" t="s">
        <v>377</v>
      </c>
      <c r="B158" s="44" t="s">
        <v>490</v>
      </c>
      <c r="C158" s="44" t="s">
        <v>491</v>
      </c>
      <c r="D158" s="44"/>
      <c r="E158" s="103" t="s">
        <v>492</v>
      </c>
      <c r="F158" s="44"/>
      <c r="G158" s="44" t="s">
        <v>493</v>
      </c>
      <c r="H158" s="45" t="s">
        <v>114</v>
      </c>
      <c r="I158" s="45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</row>
    <row r="159" spans="1:20" s="106" customFormat="1" ht="26.25" thickBot="1">
      <c r="A159" s="104" t="s">
        <v>377</v>
      </c>
      <c r="B159" s="44" t="s">
        <v>494</v>
      </c>
      <c r="C159" s="44" t="s">
        <v>495</v>
      </c>
      <c r="D159" s="44"/>
      <c r="E159" s="103" t="s">
        <v>496</v>
      </c>
      <c r="F159" s="44"/>
      <c r="G159" s="44" t="s">
        <v>497</v>
      </c>
      <c r="H159" s="45" t="s">
        <v>114</v>
      </c>
      <c r="I159" s="45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</row>
    <row r="160" spans="1:20" s="106" customFormat="1" ht="64.5" thickBot="1">
      <c r="A160" s="104" t="s">
        <v>377</v>
      </c>
      <c r="B160" s="44" t="s">
        <v>467</v>
      </c>
      <c r="C160" s="44" t="s">
        <v>498</v>
      </c>
      <c r="D160" s="44"/>
      <c r="E160" s="103" t="s">
        <v>499</v>
      </c>
      <c r="F160" s="44"/>
      <c r="G160" s="44" t="s">
        <v>500</v>
      </c>
      <c r="H160" s="45" t="s">
        <v>114</v>
      </c>
      <c r="I160" s="45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</row>
    <row r="161" spans="1:20" s="106" customFormat="1" ht="26.25" thickBot="1">
      <c r="A161" s="104" t="s">
        <v>377</v>
      </c>
      <c r="B161" s="44" t="s">
        <v>467</v>
      </c>
      <c r="C161" s="44" t="s">
        <v>501</v>
      </c>
      <c r="D161" s="44"/>
      <c r="E161" s="103" t="s">
        <v>502</v>
      </c>
      <c r="F161" s="44"/>
      <c r="G161" s="44" t="s">
        <v>503</v>
      </c>
      <c r="H161" s="45" t="s">
        <v>114</v>
      </c>
      <c r="I161" s="45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</row>
    <row r="162" spans="1:20" s="106" customFormat="1" ht="39" thickBot="1">
      <c r="A162" s="104" t="s">
        <v>377</v>
      </c>
      <c r="B162" s="44" t="s">
        <v>504</v>
      </c>
      <c r="C162" s="44" t="s">
        <v>505</v>
      </c>
      <c r="D162" s="44"/>
      <c r="E162" s="103" t="s">
        <v>506</v>
      </c>
      <c r="F162" s="44"/>
      <c r="G162" s="44" t="s">
        <v>507</v>
      </c>
      <c r="H162" s="45" t="s">
        <v>114</v>
      </c>
      <c r="I162" s="45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</row>
    <row r="163" spans="1:20" s="106" customFormat="1" ht="13.5" thickBot="1">
      <c r="A163" s="104" t="s">
        <v>377</v>
      </c>
      <c r="B163" s="44" t="s">
        <v>508</v>
      </c>
      <c r="C163" s="45" t="s">
        <v>509</v>
      </c>
      <c r="D163" s="44"/>
      <c r="E163" s="103" t="s">
        <v>510</v>
      </c>
      <c r="F163" s="44"/>
      <c r="G163" s="44" t="s">
        <v>511</v>
      </c>
      <c r="H163" s="45" t="s">
        <v>114</v>
      </c>
      <c r="I163" s="45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</row>
    <row r="164" spans="1:20" s="106" customFormat="1" ht="26.25" thickBot="1">
      <c r="A164" s="104" t="s">
        <v>377</v>
      </c>
      <c r="B164" s="44" t="s">
        <v>508</v>
      </c>
      <c r="C164" s="45" t="s">
        <v>512</v>
      </c>
      <c r="D164" s="44"/>
      <c r="E164" s="103" t="s">
        <v>513</v>
      </c>
      <c r="F164" s="44"/>
      <c r="G164" s="44" t="s">
        <v>514</v>
      </c>
      <c r="H164" s="45" t="s">
        <v>114</v>
      </c>
      <c r="I164" s="45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</row>
    <row r="165" spans="1:20" s="106" customFormat="1" ht="13.5" thickBot="1">
      <c r="A165" s="104" t="s">
        <v>377</v>
      </c>
      <c r="B165" s="45" t="s">
        <v>515</v>
      </c>
      <c r="C165" s="45" t="s">
        <v>516</v>
      </c>
      <c r="D165" s="45"/>
      <c r="E165" s="103" t="s">
        <v>517</v>
      </c>
      <c r="F165" s="45"/>
      <c r="G165" s="44" t="s">
        <v>518</v>
      </c>
      <c r="H165" s="45" t="s">
        <v>114</v>
      </c>
      <c r="I165" s="45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</row>
    <row r="166" spans="1:20" s="106" customFormat="1" ht="39" thickBot="1">
      <c r="A166" s="104" t="s">
        <v>377</v>
      </c>
      <c r="B166" s="45" t="s">
        <v>515</v>
      </c>
      <c r="C166" s="45" t="s">
        <v>519</v>
      </c>
      <c r="D166" s="45"/>
      <c r="E166" s="103" t="s">
        <v>520</v>
      </c>
      <c r="F166" s="45"/>
      <c r="G166" s="44" t="s">
        <v>521</v>
      </c>
      <c r="H166" s="45" t="s">
        <v>114</v>
      </c>
      <c r="I166" s="45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</row>
    <row r="167" spans="1:20" s="106" customFormat="1" ht="39" thickBot="1">
      <c r="A167" s="104" t="s">
        <v>377</v>
      </c>
      <c r="B167" s="45" t="s">
        <v>515</v>
      </c>
      <c r="C167" s="45" t="s">
        <v>522</v>
      </c>
      <c r="D167" s="45"/>
      <c r="E167" s="103" t="s">
        <v>523</v>
      </c>
      <c r="F167" s="45"/>
      <c r="G167" s="44" t="s">
        <v>524</v>
      </c>
      <c r="H167" s="45" t="s">
        <v>114</v>
      </c>
      <c r="I167" s="45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</row>
    <row r="168" spans="1:20" s="106" customFormat="1" ht="13.5" thickBot="1">
      <c r="A168" s="104" t="s">
        <v>377</v>
      </c>
      <c r="B168" s="45" t="s">
        <v>515</v>
      </c>
      <c r="C168" s="45" t="s">
        <v>525</v>
      </c>
      <c r="D168" s="45"/>
      <c r="E168" s="103" t="s">
        <v>526</v>
      </c>
      <c r="F168" s="45"/>
      <c r="G168" s="44" t="s">
        <v>527</v>
      </c>
      <c r="H168" s="45" t="s">
        <v>114</v>
      </c>
      <c r="I168" s="45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</row>
    <row r="169" spans="1:20" s="106" customFormat="1" ht="13.5" thickBot="1">
      <c r="A169" s="104" t="s">
        <v>377</v>
      </c>
      <c r="B169" s="45" t="s">
        <v>515</v>
      </c>
      <c r="C169" s="45" t="s">
        <v>528</v>
      </c>
      <c r="D169" s="45"/>
      <c r="E169" s="103" t="s">
        <v>529</v>
      </c>
      <c r="F169" s="45"/>
      <c r="G169" s="44" t="s">
        <v>530</v>
      </c>
      <c r="H169" s="45" t="s">
        <v>114</v>
      </c>
      <c r="I169" s="45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</row>
    <row r="170" spans="1:20" s="106" customFormat="1" ht="13.5" thickBot="1">
      <c r="A170" s="104" t="s">
        <v>377</v>
      </c>
      <c r="B170" s="45" t="s">
        <v>515</v>
      </c>
      <c r="C170" s="45" t="s">
        <v>531</v>
      </c>
      <c r="D170" s="45"/>
      <c r="E170" s="103" t="s">
        <v>532</v>
      </c>
      <c r="F170" s="45"/>
      <c r="G170" s="44" t="s">
        <v>533</v>
      </c>
      <c r="H170" s="45" t="s">
        <v>114</v>
      </c>
      <c r="I170" s="45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</row>
    <row r="171" spans="1:20" s="106" customFormat="1" ht="26.25" thickBot="1">
      <c r="A171" s="104" t="s">
        <v>377</v>
      </c>
      <c r="B171" s="45" t="s">
        <v>534</v>
      </c>
      <c r="C171" s="45" t="s">
        <v>535</v>
      </c>
      <c r="D171" s="45"/>
      <c r="E171" s="103" t="s">
        <v>536</v>
      </c>
      <c r="F171" s="45"/>
      <c r="G171" s="45" t="s">
        <v>537</v>
      </c>
      <c r="H171" s="45" t="s">
        <v>425</v>
      </c>
      <c r="I171" s="45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</row>
    <row r="172" spans="1:20" s="106" customFormat="1" ht="13.5" thickBot="1">
      <c r="A172" s="104" t="s">
        <v>377</v>
      </c>
      <c r="B172" s="45" t="s">
        <v>534</v>
      </c>
      <c r="C172" s="45" t="s">
        <v>535</v>
      </c>
      <c r="D172" s="45"/>
      <c r="E172" s="103" t="s">
        <v>538</v>
      </c>
      <c r="F172" s="45"/>
      <c r="G172" s="45" t="s">
        <v>539</v>
      </c>
      <c r="H172" s="45" t="s">
        <v>425</v>
      </c>
      <c r="I172" s="45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</row>
    <row r="173" spans="1:20" s="106" customFormat="1" ht="26.25" thickBot="1">
      <c r="A173" s="104" t="s">
        <v>377</v>
      </c>
      <c r="B173" s="45" t="s">
        <v>534</v>
      </c>
      <c r="C173" s="45" t="s">
        <v>535</v>
      </c>
      <c r="D173" s="45"/>
      <c r="E173" s="103" t="s">
        <v>540</v>
      </c>
      <c r="F173" s="45"/>
      <c r="G173" s="45" t="s">
        <v>541</v>
      </c>
      <c r="H173" s="45" t="s">
        <v>425</v>
      </c>
      <c r="I173" s="45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</row>
    <row r="174" spans="1:20" s="106" customFormat="1" ht="26.25" thickBot="1">
      <c r="A174" s="104" t="s">
        <v>377</v>
      </c>
      <c r="B174" s="45" t="s">
        <v>534</v>
      </c>
      <c r="C174" s="45" t="s">
        <v>535</v>
      </c>
      <c r="D174" s="45"/>
      <c r="E174" s="103" t="s">
        <v>542</v>
      </c>
      <c r="F174" s="45"/>
      <c r="G174" s="45" t="s">
        <v>543</v>
      </c>
      <c r="H174" s="45" t="s">
        <v>425</v>
      </c>
      <c r="I174" s="45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</row>
    <row r="175" spans="1:20" s="106" customFormat="1" ht="13.5" thickBot="1">
      <c r="A175" s="104" t="s">
        <v>377</v>
      </c>
      <c r="B175" s="45" t="s">
        <v>534</v>
      </c>
      <c r="C175" s="45" t="s">
        <v>535</v>
      </c>
      <c r="D175" s="45"/>
      <c r="E175" s="103" t="s">
        <v>544</v>
      </c>
      <c r="F175" s="45"/>
      <c r="G175" s="45" t="s">
        <v>545</v>
      </c>
      <c r="H175" s="45" t="s">
        <v>425</v>
      </c>
      <c r="I175" s="45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</row>
    <row r="176" spans="1:20" s="106" customFormat="1" ht="13.5" thickBot="1">
      <c r="A176" s="104" t="s">
        <v>377</v>
      </c>
      <c r="B176" s="45" t="s">
        <v>534</v>
      </c>
      <c r="C176" s="45" t="s">
        <v>535</v>
      </c>
      <c r="D176" s="45"/>
      <c r="E176" s="103" t="s">
        <v>546</v>
      </c>
      <c r="F176" s="45"/>
      <c r="G176" s="45" t="s">
        <v>547</v>
      </c>
      <c r="H176" s="45" t="s">
        <v>425</v>
      </c>
      <c r="I176" s="45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</row>
    <row r="177" spans="1:259" s="106" customFormat="1" ht="26.25" thickBot="1">
      <c r="A177" s="104" t="s">
        <v>377</v>
      </c>
      <c r="B177" s="45" t="s">
        <v>534</v>
      </c>
      <c r="C177" s="45" t="s">
        <v>535</v>
      </c>
      <c r="D177" s="45"/>
      <c r="E177" s="103" t="s">
        <v>548</v>
      </c>
      <c r="F177" s="45"/>
      <c r="G177" s="45" t="s">
        <v>549</v>
      </c>
      <c r="H177" s="45" t="s">
        <v>425</v>
      </c>
      <c r="I177" s="45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</row>
    <row r="178" spans="1:259" s="106" customFormat="1" ht="26.25" thickBot="1">
      <c r="A178" s="104" t="s">
        <v>377</v>
      </c>
      <c r="B178" s="45" t="s">
        <v>534</v>
      </c>
      <c r="C178" s="45" t="s">
        <v>535</v>
      </c>
      <c r="D178" s="45"/>
      <c r="E178" s="103" t="s">
        <v>550</v>
      </c>
      <c r="F178" s="45"/>
      <c r="G178" s="45" t="s">
        <v>551</v>
      </c>
      <c r="H178" s="45" t="s">
        <v>425</v>
      </c>
      <c r="I178" s="45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</row>
    <row r="179" spans="1:259" s="106" customFormat="1" ht="26.25" thickBot="1">
      <c r="A179" s="104" t="s">
        <v>377</v>
      </c>
      <c r="B179" s="45" t="s">
        <v>534</v>
      </c>
      <c r="C179" s="45" t="s">
        <v>535</v>
      </c>
      <c r="D179" s="45"/>
      <c r="E179" s="103" t="s">
        <v>552</v>
      </c>
      <c r="F179" s="45"/>
      <c r="G179" s="45" t="s">
        <v>553</v>
      </c>
      <c r="H179" s="45" t="s">
        <v>425</v>
      </c>
      <c r="I179" s="45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</row>
    <row r="180" spans="1:259" s="106" customFormat="1" ht="13.5" thickBot="1">
      <c r="A180" s="104" t="s">
        <v>377</v>
      </c>
      <c r="B180" s="45" t="s">
        <v>534</v>
      </c>
      <c r="C180" s="45" t="s">
        <v>535</v>
      </c>
      <c r="D180" s="45"/>
      <c r="E180" s="103" t="s">
        <v>554</v>
      </c>
      <c r="F180" s="45"/>
      <c r="G180" s="45" t="s">
        <v>555</v>
      </c>
      <c r="H180" s="45" t="s">
        <v>425</v>
      </c>
      <c r="I180" s="45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</row>
    <row r="181" spans="1:259" s="106" customFormat="1" ht="26.25" thickBot="1">
      <c r="A181" s="104" t="s">
        <v>377</v>
      </c>
      <c r="B181" s="45" t="s">
        <v>534</v>
      </c>
      <c r="C181" s="45" t="s">
        <v>535</v>
      </c>
      <c r="D181" s="45"/>
      <c r="E181" s="103" t="s">
        <v>556</v>
      </c>
      <c r="F181" s="45"/>
      <c r="G181" s="45" t="s">
        <v>557</v>
      </c>
      <c r="H181" s="45" t="s">
        <v>425</v>
      </c>
      <c r="I181" s="45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</row>
    <row r="182" spans="1:259" s="106" customFormat="1" ht="26.25" thickBot="1">
      <c r="A182" s="104" t="s">
        <v>377</v>
      </c>
      <c r="B182" s="45" t="s">
        <v>534</v>
      </c>
      <c r="C182" s="45" t="s">
        <v>535</v>
      </c>
      <c r="D182" s="45"/>
      <c r="E182" s="103" t="s">
        <v>558</v>
      </c>
      <c r="F182" s="45"/>
      <c r="G182" s="45" t="s">
        <v>559</v>
      </c>
      <c r="H182" s="45" t="s">
        <v>425</v>
      </c>
      <c r="I182" s="45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</row>
    <row r="183" spans="1:259" s="106" customFormat="1" ht="26.25" thickBot="1">
      <c r="A183" s="104" t="s">
        <v>377</v>
      </c>
      <c r="B183" s="45" t="s">
        <v>534</v>
      </c>
      <c r="C183" s="45" t="s">
        <v>535</v>
      </c>
      <c r="D183" s="45"/>
      <c r="E183" s="103" t="s">
        <v>560</v>
      </c>
      <c r="F183" s="45"/>
      <c r="G183" s="45" t="s">
        <v>561</v>
      </c>
      <c r="H183" s="45" t="s">
        <v>425</v>
      </c>
      <c r="I183" s="45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</row>
    <row r="184" spans="1:259" s="106" customFormat="1" ht="26.25" thickBot="1">
      <c r="A184" s="104" t="s">
        <v>377</v>
      </c>
      <c r="B184" s="45" t="s">
        <v>534</v>
      </c>
      <c r="C184" s="45" t="s">
        <v>535</v>
      </c>
      <c r="D184" s="45"/>
      <c r="E184" s="103" t="s">
        <v>562</v>
      </c>
      <c r="F184" s="45"/>
      <c r="G184" s="45" t="s">
        <v>563</v>
      </c>
      <c r="H184" s="45" t="s">
        <v>425</v>
      </c>
      <c r="I184" s="45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</row>
    <row r="185" spans="1:259" s="106" customFormat="1" ht="13.5" thickBot="1">
      <c r="A185" s="104" t="s">
        <v>377</v>
      </c>
      <c r="B185" s="45" t="s">
        <v>534</v>
      </c>
      <c r="C185" s="45" t="s">
        <v>535</v>
      </c>
      <c r="D185" s="45"/>
      <c r="E185" s="103" t="s">
        <v>564</v>
      </c>
      <c r="F185" s="45"/>
      <c r="G185" s="45" t="s">
        <v>565</v>
      </c>
      <c r="H185" s="45" t="s">
        <v>425</v>
      </c>
      <c r="I185" s="45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</row>
    <row r="186" spans="1:259" s="106" customFormat="1" ht="26.25" thickBot="1">
      <c r="A186" s="104" t="s">
        <v>377</v>
      </c>
      <c r="B186" s="45" t="s">
        <v>534</v>
      </c>
      <c r="C186" s="45" t="s">
        <v>535</v>
      </c>
      <c r="D186" s="45"/>
      <c r="E186" s="103" t="s">
        <v>566</v>
      </c>
      <c r="F186" s="45"/>
      <c r="G186" s="45" t="s">
        <v>567</v>
      </c>
      <c r="H186" s="45" t="s">
        <v>425</v>
      </c>
      <c r="I186" s="45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</row>
    <row r="187" spans="1:259" s="106" customFormat="1" ht="13.5" thickBot="1">
      <c r="A187" s="104"/>
      <c r="B187" s="45"/>
      <c r="C187" s="45"/>
      <c r="D187" s="45"/>
      <c r="E187" s="45"/>
      <c r="F187" s="45"/>
      <c r="G187" s="45"/>
      <c r="H187" s="45"/>
      <c r="I187" s="45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</row>
    <row r="188" spans="1:259" s="106" customFormat="1" ht="13.5" thickBot="1">
      <c r="A188" s="104"/>
      <c r="B188" s="45"/>
      <c r="C188" s="45"/>
      <c r="D188" s="45"/>
      <c r="E188" s="45"/>
      <c r="F188" s="45"/>
      <c r="G188" s="45"/>
      <c r="H188" s="45"/>
      <c r="I188" s="45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</row>
    <row r="189" spans="1:259" s="106" customFormat="1" ht="13.5" thickBot="1">
      <c r="A189" s="104"/>
      <c r="B189" s="45"/>
      <c r="C189" s="45"/>
      <c r="D189" s="45"/>
      <c r="E189" s="45"/>
      <c r="F189" s="45"/>
      <c r="G189" s="45"/>
      <c r="H189" s="45"/>
      <c r="I189" s="45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</row>
    <row r="190" spans="1:259" s="33" customFormat="1" ht="51.75" customHeight="1" thickBot="1">
      <c r="A190" s="43"/>
      <c r="B190" s="45"/>
      <c r="C190" s="45"/>
      <c r="D190" s="45"/>
      <c r="E190" s="45"/>
      <c r="F190" s="45"/>
      <c r="G190" s="45"/>
      <c r="H190" s="45"/>
      <c r="I190" s="45"/>
      <c r="J190" s="44"/>
      <c r="K190" s="44"/>
      <c r="L190" s="44"/>
      <c r="M190" s="44"/>
      <c r="N190" s="44"/>
      <c r="O190" s="44"/>
      <c r="P190" s="44"/>
      <c r="Q190" s="44"/>
      <c r="R190" s="44" t="s">
        <v>115</v>
      </c>
      <c r="S190" s="46"/>
      <c r="T190" s="44"/>
    </row>
    <row r="191" spans="1:259" s="47" customFormat="1" ht="12" customHeight="1">
      <c r="B191" s="48" t="s">
        <v>568</v>
      </c>
      <c r="G191" s="47" t="s">
        <v>569</v>
      </c>
      <c r="O191" s="49"/>
      <c r="P191" s="49"/>
      <c r="Q191" s="50"/>
      <c r="R191" s="50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  <c r="CL191" s="33"/>
      <c r="CM191" s="33"/>
      <c r="CN191" s="33"/>
      <c r="CO191" s="33"/>
      <c r="CP191" s="33"/>
      <c r="CQ191" s="33"/>
      <c r="CR191" s="33"/>
      <c r="CS191" s="33"/>
      <c r="CT191" s="33"/>
      <c r="CU191" s="33"/>
      <c r="CV191" s="33"/>
      <c r="CW191" s="33"/>
      <c r="CX191" s="33"/>
      <c r="CY191" s="33"/>
      <c r="CZ191" s="33"/>
      <c r="DA191" s="33"/>
      <c r="DB191" s="33"/>
      <c r="DC191" s="33"/>
      <c r="DD191" s="33"/>
      <c r="DE191" s="33"/>
      <c r="DF191" s="33"/>
      <c r="DG191" s="33"/>
      <c r="DH191" s="33"/>
      <c r="DI191" s="33"/>
      <c r="DJ191" s="33"/>
      <c r="DK191" s="33"/>
      <c r="DL191" s="33"/>
      <c r="DM191" s="33"/>
      <c r="DN191" s="33"/>
      <c r="DO191" s="33"/>
      <c r="DP191" s="33"/>
      <c r="DQ191" s="33"/>
      <c r="DR191" s="33"/>
      <c r="DS191" s="33"/>
      <c r="DT191" s="33"/>
      <c r="DU191" s="33"/>
      <c r="DV191" s="33"/>
      <c r="DW191" s="33"/>
      <c r="DX191" s="33"/>
      <c r="DY191" s="33"/>
      <c r="DZ191" s="33"/>
      <c r="EA191" s="33"/>
      <c r="EB191" s="33"/>
      <c r="EC191" s="33"/>
      <c r="ED191" s="33"/>
      <c r="EE191" s="33"/>
      <c r="EF191" s="33"/>
      <c r="EG191" s="33"/>
      <c r="EH191" s="33"/>
      <c r="EI191" s="33"/>
      <c r="EJ191" s="33"/>
      <c r="EK191" s="33"/>
      <c r="EL191" s="33"/>
      <c r="EM191" s="33"/>
      <c r="EN191" s="33"/>
      <c r="EO191" s="33"/>
      <c r="EP191" s="33"/>
      <c r="EQ191" s="33"/>
      <c r="ER191" s="33"/>
      <c r="ES191" s="33"/>
      <c r="ET191" s="33"/>
      <c r="EU191" s="33"/>
      <c r="EV191" s="33"/>
      <c r="EW191" s="33"/>
      <c r="EX191" s="33"/>
      <c r="EY191" s="33"/>
      <c r="EZ191" s="33"/>
      <c r="FA191" s="33"/>
      <c r="FB191" s="33"/>
      <c r="FC191" s="33"/>
      <c r="FD191" s="33"/>
      <c r="FE191" s="33"/>
      <c r="FF191" s="33"/>
      <c r="FG191" s="33"/>
      <c r="FH191" s="33"/>
      <c r="FI191" s="33"/>
      <c r="FJ191" s="33"/>
      <c r="FK191" s="33"/>
      <c r="FL191" s="33"/>
      <c r="FM191" s="33"/>
      <c r="FN191" s="33"/>
      <c r="FO191" s="33"/>
      <c r="FP191" s="33"/>
      <c r="FQ191" s="33"/>
      <c r="FR191" s="33"/>
      <c r="FS191" s="33"/>
      <c r="FT191" s="33"/>
      <c r="FU191" s="33"/>
      <c r="FV191" s="33"/>
      <c r="FW191" s="33"/>
      <c r="FX191" s="33"/>
      <c r="FY191" s="33"/>
      <c r="FZ191" s="33"/>
      <c r="GA191" s="33"/>
      <c r="GB191" s="33"/>
      <c r="GC191" s="33"/>
      <c r="GD191" s="33"/>
      <c r="GE191" s="33"/>
      <c r="GF191" s="33"/>
      <c r="GG191" s="33"/>
      <c r="GH191" s="33"/>
      <c r="GI191" s="33"/>
      <c r="GJ191" s="33"/>
      <c r="GK191" s="33"/>
      <c r="GL191" s="33"/>
      <c r="GM191" s="33"/>
      <c r="GN191" s="33"/>
      <c r="GO191" s="33"/>
      <c r="GP191" s="33"/>
      <c r="GQ191" s="33"/>
      <c r="GR191" s="33"/>
      <c r="GS191" s="33"/>
      <c r="GT191" s="33"/>
      <c r="GU191" s="33"/>
      <c r="GV191" s="33"/>
      <c r="GW191" s="33"/>
      <c r="GX191" s="33"/>
      <c r="GY191" s="33"/>
      <c r="GZ191" s="33"/>
      <c r="HA191" s="33"/>
      <c r="HB191" s="33"/>
      <c r="HC191" s="33"/>
      <c r="HD191" s="33"/>
      <c r="HE191" s="33"/>
      <c r="HF191" s="33"/>
      <c r="HG191" s="33"/>
      <c r="HH191" s="33"/>
      <c r="HI191" s="33"/>
      <c r="HJ191" s="33"/>
      <c r="HK191" s="33"/>
      <c r="HL191" s="33"/>
      <c r="HM191" s="33"/>
      <c r="HN191" s="33"/>
      <c r="HO191" s="33"/>
      <c r="HP191" s="33"/>
      <c r="HQ191" s="33"/>
      <c r="HR191" s="33"/>
      <c r="HS191" s="33"/>
      <c r="HT191" s="33"/>
      <c r="HU191" s="33"/>
      <c r="HV191" s="33"/>
      <c r="HW191" s="33"/>
      <c r="HX191" s="33"/>
      <c r="HY191" s="33"/>
      <c r="HZ191" s="33"/>
      <c r="IA191" s="33"/>
      <c r="IB191" s="33"/>
      <c r="IC191" s="33"/>
      <c r="ID191" s="33"/>
      <c r="IE191" s="33"/>
      <c r="IF191" s="33"/>
      <c r="IG191" s="33"/>
      <c r="IH191" s="33"/>
      <c r="II191" s="33"/>
      <c r="IJ191" s="33"/>
      <c r="IK191" s="33"/>
      <c r="IL191" s="33"/>
      <c r="IM191" s="33"/>
      <c r="IN191" s="33"/>
      <c r="IO191" s="33"/>
      <c r="IP191" s="33"/>
      <c r="IQ191" s="33"/>
      <c r="IR191" s="33"/>
      <c r="IS191" s="33"/>
      <c r="IT191" s="33"/>
      <c r="IU191" s="33"/>
      <c r="IV191" s="33"/>
      <c r="IW191" s="33"/>
      <c r="IX191" s="33"/>
      <c r="IY191" s="33"/>
    </row>
    <row r="192" spans="1:259">
      <c r="O192" s="51"/>
      <c r="P192" s="51"/>
    </row>
    <row r="193" spans="9:16">
      <c r="O193" s="51"/>
      <c r="P193" s="51"/>
    </row>
    <row r="194" spans="9:16">
      <c r="O194" s="51"/>
      <c r="P194" s="51"/>
    </row>
    <row r="195" spans="9:16">
      <c r="O195" s="51"/>
      <c r="P195" s="51"/>
    </row>
    <row r="196" spans="9:16" ht="14.25">
      <c r="I196" s="53"/>
      <c r="O196" s="51"/>
      <c r="P196" s="51"/>
    </row>
    <row r="197" spans="9:16">
      <c r="O197" s="51"/>
      <c r="P197" s="51"/>
    </row>
    <row r="198" spans="9:16">
      <c r="O198" s="51"/>
      <c r="P198" s="51"/>
    </row>
    <row r="199" spans="9:16">
      <c r="O199" s="51"/>
      <c r="P199" s="51"/>
    </row>
    <row r="200" spans="9:16">
      <c r="O200" s="51"/>
      <c r="P200" s="51"/>
    </row>
    <row r="201" spans="9:16">
      <c r="O201" s="51"/>
      <c r="P201" s="51"/>
    </row>
    <row r="202" spans="9:16">
      <c r="O202" s="51"/>
      <c r="P202" s="51"/>
    </row>
    <row r="203" spans="9:16">
      <c r="O203" s="51"/>
      <c r="P203" s="51"/>
    </row>
    <row r="204" spans="9:16">
      <c r="O204" s="51"/>
      <c r="P204" s="51"/>
    </row>
    <row r="205" spans="9:16">
      <c r="O205" s="51"/>
      <c r="P205" s="51"/>
    </row>
    <row r="206" spans="9:16">
      <c r="O206" s="51"/>
      <c r="P206" s="51"/>
    </row>
    <row r="207" spans="9:16">
      <c r="O207" s="51"/>
      <c r="P207" s="51"/>
    </row>
    <row r="208" spans="9:16">
      <c r="O208" s="51"/>
      <c r="P208" s="51"/>
    </row>
    <row r="209" spans="15:16">
      <c r="O209" s="51"/>
      <c r="P209" s="51"/>
    </row>
    <row r="210" spans="15:16">
      <c r="O210" s="51"/>
      <c r="P210" s="51"/>
    </row>
    <row r="211" spans="15:16">
      <c r="O211" s="51"/>
      <c r="P211" s="51"/>
    </row>
    <row r="212" spans="15:16">
      <c r="O212" s="51"/>
      <c r="P212" s="51"/>
    </row>
    <row r="213" spans="15:16">
      <c r="O213" s="51"/>
      <c r="P213" s="51"/>
    </row>
    <row r="214" spans="15:16">
      <c r="O214" s="51"/>
      <c r="P214" s="51"/>
    </row>
    <row r="215" spans="15:16">
      <c r="O215" s="51"/>
      <c r="P215" s="51"/>
    </row>
    <row r="216" spans="15:16">
      <c r="O216" s="51"/>
      <c r="P216" s="51"/>
    </row>
    <row r="217" spans="15:16">
      <c r="O217" s="51"/>
      <c r="P217" s="51"/>
    </row>
    <row r="218" spans="15:16">
      <c r="O218" s="51"/>
      <c r="P218" s="51"/>
    </row>
    <row r="219" spans="15:16">
      <c r="O219" s="51"/>
      <c r="P219" s="51"/>
    </row>
    <row r="220" spans="15:16">
      <c r="O220" s="51"/>
      <c r="P220" s="51"/>
    </row>
    <row r="221" spans="15:16">
      <c r="O221" s="51"/>
      <c r="P221" s="51"/>
    </row>
    <row r="222" spans="15:16">
      <c r="O222" s="51"/>
      <c r="P222" s="51"/>
    </row>
    <row r="223" spans="15:16">
      <c r="O223" s="51"/>
      <c r="P223" s="51"/>
    </row>
    <row r="224" spans="15:16">
      <c r="O224" s="51"/>
      <c r="P224" s="51"/>
    </row>
    <row r="225" spans="15:16">
      <c r="O225" s="51"/>
      <c r="P225" s="51"/>
    </row>
    <row r="226" spans="15:16">
      <c r="O226" s="51"/>
      <c r="P226" s="51"/>
    </row>
    <row r="227" spans="15:16">
      <c r="O227" s="51"/>
      <c r="P227" s="51"/>
    </row>
    <row r="228" spans="15:16">
      <c r="O228" s="51"/>
      <c r="P228" s="51"/>
    </row>
    <row r="229" spans="15:16">
      <c r="O229" s="51"/>
      <c r="P229" s="51"/>
    </row>
    <row r="230" spans="15:16">
      <c r="O230" s="51"/>
      <c r="P230" s="51"/>
    </row>
    <row r="231" spans="15:16">
      <c r="O231" s="51"/>
      <c r="P231" s="51"/>
    </row>
    <row r="232" spans="15:16">
      <c r="O232" s="51"/>
      <c r="P232" s="51"/>
    </row>
    <row r="233" spans="15:16">
      <c r="O233" s="51"/>
      <c r="P233" s="51"/>
    </row>
    <row r="234" spans="15:16">
      <c r="O234" s="51"/>
      <c r="P234" s="51"/>
    </row>
    <row r="235" spans="15:16">
      <c r="O235" s="51"/>
      <c r="P235" s="51"/>
    </row>
    <row r="236" spans="15:16">
      <c r="O236" s="51"/>
      <c r="P236" s="51"/>
    </row>
    <row r="237" spans="15:16">
      <c r="O237" s="51"/>
      <c r="P237" s="51"/>
    </row>
    <row r="238" spans="15:16">
      <c r="O238" s="51"/>
      <c r="P238" s="51"/>
    </row>
    <row r="239" spans="15:16">
      <c r="O239" s="51"/>
      <c r="P239" s="51"/>
    </row>
    <row r="240" spans="15:16">
      <c r="O240" s="51"/>
      <c r="P240" s="51"/>
    </row>
    <row r="241" spans="15:16">
      <c r="O241" s="51"/>
      <c r="P241" s="51"/>
    </row>
    <row r="242" spans="15:16">
      <c r="O242" s="51"/>
      <c r="P242" s="51"/>
    </row>
    <row r="243" spans="15:16">
      <c r="O243" s="51"/>
      <c r="P243" s="51"/>
    </row>
    <row r="244" spans="15:16">
      <c r="O244" s="51"/>
      <c r="P244" s="51"/>
    </row>
    <row r="245" spans="15:16">
      <c r="O245" s="51"/>
      <c r="P245" s="51"/>
    </row>
    <row r="246" spans="15:16">
      <c r="O246" s="51"/>
      <c r="P246" s="51"/>
    </row>
    <row r="247" spans="15:16">
      <c r="O247" s="51"/>
      <c r="P247" s="51"/>
    </row>
    <row r="248" spans="15:16">
      <c r="O248" s="51"/>
      <c r="P248" s="51"/>
    </row>
    <row r="249" spans="15:16">
      <c r="O249" s="51"/>
      <c r="P249" s="51"/>
    </row>
    <row r="250" spans="15:16">
      <c r="O250" s="51"/>
      <c r="P250" s="51"/>
    </row>
    <row r="251" spans="15:16">
      <c r="O251" s="51"/>
      <c r="P251" s="51"/>
    </row>
    <row r="252" spans="15:16">
      <c r="O252" s="51"/>
      <c r="P252" s="51"/>
    </row>
    <row r="253" spans="15:16">
      <c r="O253" s="51"/>
      <c r="P253" s="51"/>
    </row>
    <row r="254" spans="15:16">
      <c r="O254" s="51"/>
      <c r="P254" s="51"/>
    </row>
    <row r="255" spans="15:16">
      <c r="O255" s="51"/>
      <c r="P255" s="51"/>
    </row>
    <row r="256" spans="15:16">
      <c r="O256" s="51"/>
      <c r="P256" s="51"/>
    </row>
    <row r="257" spans="15:16">
      <c r="O257" s="51"/>
      <c r="P257" s="51"/>
    </row>
    <row r="258" spans="15:16">
      <c r="O258" s="51"/>
      <c r="P258" s="51"/>
    </row>
    <row r="259" spans="15:16">
      <c r="O259" s="51"/>
      <c r="P259" s="51"/>
    </row>
    <row r="260" spans="15:16">
      <c r="O260" s="51"/>
      <c r="P260" s="51"/>
    </row>
    <row r="261" spans="15:16">
      <c r="O261" s="51"/>
      <c r="P261" s="51"/>
    </row>
    <row r="262" spans="15:16">
      <c r="O262" s="51"/>
      <c r="P262" s="51"/>
    </row>
    <row r="263" spans="15:16">
      <c r="O263" s="51"/>
      <c r="P263" s="51"/>
    </row>
    <row r="264" spans="15:16">
      <c r="O264" s="51"/>
      <c r="P264" s="51"/>
    </row>
    <row r="265" spans="15:16">
      <c r="O265" s="51"/>
      <c r="P265" s="51"/>
    </row>
    <row r="266" spans="15:16">
      <c r="O266" s="51"/>
      <c r="P266" s="51"/>
    </row>
    <row r="267" spans="15:16">
      <c r="O267" s="51"/>
      <c r="P267" s="51"/>
    </row>
    <row r="268" spans="15:16">
      <c r="O268" s="51"/>
      <c r="P268" s="51"/>
    </row>
    <row r="269" spans="15:16">
      <c r="O269" s="51"/>
      <c r="P269" s="51"/>
    </row>
    <row r="270" spans="15:16">
      <c r="O270" s="51"/>
      <c r="P270" s="51"/>
    </row>
    <row r="271" spans="15:16">
      <c r="O271" s="51"/>
      <c r="P271" s="51"/>
    </row>
    <row r="272" spans="15:16">
      <c r="O272" s="51"/>
      <c r="P272" s="51"/>
    </row>
    <row r="273" spans="15:16">
      <c r="O273" s="51"/>
      <c r="P273" s="51"/>
    </row>
    <row r="274" spans="15:16">
      <c r="O274" s="51"/>
      <c r="P274" s="51"/>
    </row>
    <row r="275" spans="15:16">
      <c r="O275" s="51"/>
      <c r="P275" s="51"/>
    </row>
    <row r="276" spans="15:16">
      <c r="O276" s="51"/>
      <c r="P276" s="51"/>
    </row>
    <row r="277" spans="15:16">
      <c r="O277" s="51"/>
      <c r="P277" s="51"/>
    </row>
    <row r="278" spans="15:16">
      <c r="O278" s="51"/>
      <c r="P278" s="51"/>
    </row>
    <row r="279" spans="15:16">
      <c r="O279" s="51"/>
      <c r="P279" s="51"/>
    </row>
    <row r="280" spans="15:16">
      <c r="O280" s="51"/>
      <c r="P280" s="51"/>
    </row>
    <row r="281" spans="15:16">
      <c r="O281" s="51"/>
      <c r="P281" s="51"/>
    </row>
    <row r="282" spans="15:16">
      <c r="O282" s="51"/>
      <c r="P282" s="51"/>
    </row>
    <row r="283" spans="15:16">
      <c r="O283" s="51"/>
      <c r="P283" s="51"/>
    </row>
    <row r="284" spans="15:16">
      <c r="O284" s="51"/>
      <c r="P284" s="51"/>
    </row>
    <row r="285" spans="15:16">
      <c r="O285" s="51"/>
      <c r="P285" s="51"/>
    </row>
    <row r="286" spans="15:16">
      <c r="O286" s="51"/>
      <c r="P286" s="51"/>
    </row>
    <row r="287" spans="15:16">
      <c r="O287" s="51"/>
      <c r="P287" s="51"/>
    </row>
    <row r="288" spans="15:16">
      <c r="O288" s="51"/>
      <c r="P288" s="51"/>
    </row>
    <row r="289" spans="15:16">
      <c r="O289" s="51"/>
      <c r="P289" s="51"/>
    </row>
    <row r="290" spans="15:16">
      <c r="O290" s="51"/>
      <c r="P290" s="51"/>
    </row>
    <row r="291" spans="15:16">
      <c r="O291" s="51"/>
      <c r="P291" s="51"/>
    </row>
    <row r="292" spans="15:16">
      <c r="O292" s="51"/>
      <c r="P292" s="51"/>
    </row>
    <row r="293" spans="15:16">
      <c r="O293" s="51"/>
      <c r="P293" s="51"/>
    </row>
    <row r="294" spans="15:16">
      <c r="O294" s="51"/>
      <c r="P294" s="51"/>
    </row>
    <row r="295" spans="15:16">
      <c r="O295" s="51"/>
      <c r="P295" s="51"/>
    </row>
    <row r="296" spans="15:16">
      <c r="O296" s="51"/>
      <c r="P296" s="51"/>
    </row>
    <row r="297" spans="15:16">
      <c r="O297" s="51"/>
      <c r="P297" s="51"/>
    </row>
    <row r="298" spans="15:16">
      <c r="O298" s="51"/>
      <c r="P298" s="51"/>
    </row>
    <row r="299" spans="15:16">
      <c r="O299" s="51"/>
      <c r="P299" s="51"/>
    </row>
    <row r="300" spans="15:16">
      <c r="O300" s="51"/>
      <c r="P300" s="51"/>
    </row>
    <row r="301" spans="15:16">
      <c r="O301" s="51"/>
      <c r="P301" s="51"/>
    </row>
    <row r="302" spans="15:16">
      <c r="O302" s="51"/>
      <c r="P302" s="51"/>
    </row>
    <row r="303" spans="15:16">
      <c r="O303" s="51"/>
      <c r="P303" s="51"/>
    </row>
    <row r="304" spans="15:16">
      <c r="O304" s="51"/>
      <c r="P304" s="51"/>
    </row>
    <row r="305" spans="15:16">
      <c r="O305" s="51"/>
      <c r="P305" s="51"/>
    </row>
    <row r="306" spans="15:16">
      <c r="O306" s="51"/>
      <c r="P306" s="51"/>
    </row>
    <row r="307" spans="15:16">
      <c r="O307" s="51"/>
      <c r="P307" s="51"/>
    </row>
    <row r="308" spans="15:16">
      <c r="O308" s="51"/>
      <c r="P308" s="51"/>
    </row>
    <row r="309" spans="15:16">
      <c r="O309" s="51"/>
      <c r="P309" s="51"/>
    </row>
    <row r="310" spans="15:16">
      <c r="O310" s="51"/>
      <c r="P310" s="51"/>
    </row>
    <row r="311" spans="15:16">
      <c r="O311" s="51"/>
      <c r="P311" s="51"/>
    </row>
    <row r="312" spans="15:16">
      <c r="O312" s="51"/>
      <c r="P312" s="51"/>
    </row>
    <row r="313" spans="15:16">
      <c r="O313" s="51"/>
      <c r="P313" s="51"/>
    </row>
    <row r="314" spans="15:16">
      <c r="O314" s="51"/>
      <c r="P314" s="51"/>
    </row>
    <row r="315" spans="15:16">
      <c r="O315" s="51"/>
      <c r="P315" s="51"/>
    </row>
    <row r="316" spans="15:16">
      <c r="O316" s="51"/>
      <c r="P316" s="51"/>
    </row>
    <row r="317" spans="15:16">
      <c r="O317" s="51"/>
      <c r="P317" s="51"/>
    </row>
    <row r="318" spans="15:16">
      <c r="O318" s="51"/>
      <c r="P318" s="51"/>
    </row>
    <row r="319" spans="15:16">
      <c r="O319" s="51"/>
      <c r="P319" s="51"/>
    </row>
    <row r="320" spans="15:16">
      <c r="O320" s="51"/>
      <c r="P320" s="51"/>
    </row>
    <row r="321" spans="15:16">
      <c r="O321" s="51"/>
      <c r="P321" s="51"/>
    </row>
    <row r="322" spans="15:16">
      <c r="O322" s="51"/>
      <c r="P322" s="51"/>
    </row>
    <row r="323" spans="15:16">
      <c r="O323" s="51"/>
      <c r="P323" s="51"/>
    </row>
    <row r="324" spans="15:16">
      <c r="O324" s="51"/>
      <c r="P324" s="51"/>
    </row>
    <row r="325" spans="15:16">
      <c r="O325" s="51"/>
      <c r="P325" s="51"/>
    </row>
    <row r="326" spans="15:16">
      <c r="O326" s="51"/>
      <c r="P326" s="51"/>
    </row>
    <row r="327" spans="15:16">
      <c r="O327" s="51"/>
      <c r="P327" s="51"/>
    </row>
    <row r="328" spans="15:16">
      <c r="O328" s="51"/>
      <c r="P328" s="51"/>
    </row>
    <row r="329" spans="15:16">
      <c r="O329" s="51"/>
      <c r="P329" s="51"/>
    </row>
    <row r="330" spans="15:16">
      <c r="O330" s="51"/>
      <c r="P330" s="51"/>
    </row>
    <row r="331" spans="15:16">
      <c r="O331" s="51"/>
      <c r="P331" s="51"/>
    </row>
    <row r="332" spans="15:16">
      <c r="O332" s="51"/>
      <c r="P332" s="51"/>
    </row>
    <row r="333" spans="15:16">
      <c r="O333" s="51"/>
      <c r="P333" s="51"/>
    </row>
    <row r="334" spans="15:16">
      <c r="O334" s="51"/>
      <c r="P334" s="51"/>
    </row>
    <row r="335" spans="15:16">
      <c r="O335" s="51"/>
      <c r="P335" s="51"/>
    </row>
    <row r="336" spans="15:16">
      <c r="O336" s="51"/>
      <c r="P336" s="51"/>
    </row>
    <row r="337" spans="15:16">
      <c r="O337" s="51"/>
      <c r="P337" s="51"/>
    </row>
    <row r="338" spans="15:16">
      <c r="O338" s="51"/>
      <c r="P338" s="51"/>
    </row>
    <row r="339" spans="15:16">
      <c r="O339" s="51"/>
      <c r="P339" s="51"/>
    </row>
    <row r="340" spans="15:16">
      <c r="O340" s="51"/>
      <c r="P340" s="51"/>
    </row>
    <row r="341" spans="15:16">
      <c r="O341" s="51"/>
      <c r="P341" s="51"/>
    </row>
    <row r="342" spans="15:16">
      <c r="O342" s="51"/>
      <c r="P342" s="51"/>
    </row>
    <row r="343" spans="15:16">
      <c r="O343" s="51"/>
      <c r="P343" s="51"/>
    </row>
    <row r="344" spans="15:16">
      <c r="O344" s="51"/>
      <c r="P344" s="51"/>
    </row>
    <row r="345" spans="15:16">
      <c r="O345" s="51"/>
      <c r="P345" s="51"/>
    </row>
    <row r="346" spans="15:16">
      <c r="O346" s="51"/>
      <c r="P346" s="51"/>
    </row>
    <row r="347" spans="15:16">
      <c r="O347" s="51"/>
      <c r="P347" s="51"/>
    </row>
    <row r="348" spans="15:16">
      <c r="O348" s="51"/>
      <c r="P348" s="51"/>
    </row>
    <row r="349" spans="15:16">
      <c r="O349" s="51"/>
      <c r="P349" s="51"/>
    </row>
    <row r="350" spans="15:16">
      <c r="O350" s="51"/>
      <c r="P350" s="51"/>
    </row>
    <row r="351" spans="15:16">
      <c r="O351" s="51"/>
      <c r="P351" s="51"/>
    </row>
    <row r="352" spans="15:16">
      <c r="O352" s="51"/>
      <c r="P352" s="51"/>
    </row>
    <row r="353" spans="15:16">
      <c r="O353" s="51"/>
      <c r="P353" s="51"/>
    </row>
    <row r="354" spans="15:16">
      <c r="O354" s="51"/>
      <c r="P354" s="51"/>
    </row>
    <row r="355" spans="15:16">
      <c r="O355" s="51"/>
      <c r="P355" s="51"/>
    </row>
    <row r="356" spans="15:16">
      <c r="O356" s="51"/>
      <c r="P356" s="51"/>
    </row>
    <row r="357" spans="15:16">
      <c r="O357" s="51"/>
      <c r="P357" s="51"/>
    </row>
    <row r="358" spans="15:16">
      <c r="O358" s="51"/>
      <c r="P358" s="51"/>
    </row>
    <row r="359" spans="15:16">
      <c r="O359" s="51"/>
      <c r="P359" s="51"/>
    </row>
    <row r="360" spans="15:16">
      <c r="O360" s="51"/>
      <c r="P360" s="51"/>
    </row>
    <row r="361" spans="15:16">
      <c r="O361" s="51"/>
      <c r="P361" s="51"/>
    </row>
    <row r="362" spans="15:16">
      <c r="O362" s="51"/>
      <c r="P362" s="51"/>
    </row>
    <row r="363" spans="15:16">
      <c r="O363" s="51"/>
      <c r="P363" s="51"/>
    </row>
    <row r="364" spans="15:16">
      <c r="O364" s="51"/>
      <c r="P364" s="51"/>
    </row>
    <row r="365" spans="15:16">
      <c r="O365" s="51"/>
      <c r="P365" s="51"/>
    </row>
    <row r="366" spans="15:16">
      <c r="O366" s="51"/>
      <c r="P366" s="51"/>
    </row>
    <row r="367" spans="15:16">
      <c r="O367" s="51"/>
      <c r="P367" s="51"/>
    </row>
    <row r="368" spans="15:16">
      <c r="O368" s="51"/>
      <c r="P368" s="51"/>
    </row>
    <row r="369" spans="15:16">
      <c r="O369" s="51"/>
      <c r="P369" s="51"/>
    </row>
    <row r="370" spans="15:16">
      <c r="O370" s="51"/>
      <c r="P370" s="51"/>
    </row>
    <row r="371" spans="15:16">
      <c r="O371" s="51"/>
      <c r="P371" s="51"/>
    </row>
    <row r="372" spans="15:16">
      <c r="O372" s="51"/>
      <c r="P372" s="51"/>
    </row>
    <row r="373" spans="15:16">
      <c r="O373" s="51"/>
      <c r="P373" s="51"/>
    </row>
    <row r="374" spans="15:16">
      <c r="O374" s="51"/>
      <c r="P374" s="51"/>
    </row>
    <row r="375" spans="15:16">
      <c r="O375" s="51"/>
      <c r="P375" s="51"/>
    </row>
    <row r="376" spans="15:16">
      <c r="O376" s="51"/>
      <c r="P376" s="51"/>
    </row>
    <row r="377" spans="15:16">
      <c r="O377" s="51"/>
      <c r="P377" s="51"/>
    </row>
    <row r="378" spans="15:16">
      <c r="O378" s="51"/>
      <c r="P378" s="51"/>
    </row>
    <row r="379" spans="15:16">
      <c r="O379" s="51"/>
      <c r="P379" s="51"/>
    </row>
  </sheetData>
  <autoFilter ref="A6:XFD170" xr:uid="{00000000-0009-0000-0000-000004000000}">
    <filterColumn colId="13" showButton="0"/>
    <filterColumn colId="15" showButton="0"/>
  </autoFilter>
  <mergeCells count="25">
    <mergeCell ref="L6:L7"/>
    <mergeCell ref="B1:T1"/>
    <mergeCell ref="B2:I2"/>
    <mergeCell ref="K2:T2"/>
    <mergeCell ref="B3:I3"/>
    <mergeCell ref="J3:J4"/>
    <mergeCell ref="K3:T4"/>
    <mergeCell ref="B4:E4"/>
    <mergeCell ref="H4:I4"/>
    <mergeCell ref="T6:T7"/>
    <mergeCell ref="A5:T5"/>
    <mergeCell ref="A6:A7"/>
    <mergeCell ref="B6:B7"/>
    <mergeCell ref="C6:C7"/>
    <mergeCell ref="E6:E7"/>
    <mergeCell ref="F6:F7"/>
    <mergeCell ref="M6:M7"/>
    <mergeCell ref="N6:O6"/>
    <mergeCell ref="P6:Q6"/>
    <mergeCell ref="S6:S7"/>
    <mergeCell ref="G6:G7"/>
    <mergeCell ref="H6:H7"/>
    <mergeCell ref="I6:I7"/>
    <mergeCell ref="J6:J7"/>
    <mergeCell ref="K6:K7"/>
  </mergeCells>
  <dataValidations xWindow="784" yWindow="579" count="2">
    <dataValidation type="list" allowBlank="1" showInputMessage="1" showErrorMessage="1" prompt="' ' = Non Commencé_x000a_E = En Cours_x000a_V = Validé_x000a_A=  En anomalie  avec la référence à la fiche de liaison correspondante dans la colonne 'remarques'" sqref="R8:R85 R190" xr:uid="{00000000-0002-0000-0400-000000000000}">
      <formula1>"E,V,A"</formula1>
    </dataValidation>
    <dataValidation type="list" allowBlank="1" showInputMessage="1" showErrorMessage="1" sqref="H8:H190" xr:uid="{00000000-0002-0000-0400-000001000000}">
      <formula1>"Tests unitaire, Tests d'intégration,Tests de non régression,Tests de performance,Qualification fonctionnelle,Qualification technique,Qualification de sécurité"</formula1>
    </dataValidation>
  </dataValidations>
  <printOptions horizontalCentered="1"/>
  <pageMargins left="0.17" right="0.28999999999999998" top="0.23622047244094491" bottom="0.39370078740157483" header="0.19685039370078741" footer="0.23622047244094491"/>
  <pageSetup paperSize="9" scale="44" fitToHeight="4" orientation="landscape" verticalDpi="300" r:id="rId1"/>
  <headerFooter alignWithMargins="0">
    <oddFooter>&amp;LVersion du &amp;D à &amp;T&amp;C&amp;9Plan de Recette &amp;R&amp;9Page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jouter_ligne">
                <anchor moveWithCells="1" sizeWithCells="1">
                  <from>
                    <xdr:col>1</xdr:col>
                    <xdr:colOff>438150</xdr:colOff>
                    <xdr:row>0</xdr:row>
                    <xdr:rowOff>714375</xdr:rowOff>
                  </from>
                  <to>
                    <xdr:col>1</xdr:col>
                    <xdr:colOff>962025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pprimer_ligne">
                <anchor moveWithCells="1" sizeWithCells="1">
                  <from>
                    <xdr:col>1</xdr:col>
                    <xdr:colOff>1028700</xdr:colOff>
                    <xdr:row>0</xdr:row>
                    <xdr:rowOff>714375</xdr:rowOff>
                  </from>
                  <to>
                    <xdr:col>1</xdr:col>
                    <xdr:colOff>1514475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2:T33"/>
  <sheetViews>
    <sheetView showGridLines="0" topLeftCell="A4" workbookViewId="0">
      <selection activeCell="H29" sqref="H29"/>
    </sheetView>
  </sheetViews>
  <sheetFormatPr defaultColWidth="11.42578125" defaultRowHeight="12.75"/>
  <cols>
    <col min="2" max="2" width="23.28515625" customWidth="1"/>
    <col min="3" max="3" width="44.28515625" customWidth="1"/>
    <col min="5" max="5" width="7.85546875" customWidth="1"/>
    <col min="6" max="7" width="11.42578125" hidden="1" customWidth="1"/>
    <col min="8" max="8" width="25.42578125" customWidth="1"/>
    <col min="9" max="9" width="37.5703125" customWidth="1"/>
  </cols>
  <sheetData>
    <row r="2" spans="1:20" s="1" customFormat="1" ht="24.95" customHeight="1">
      <c r="A2" s="5"/>
      <c r="B2" s="6"/>
      <c r="C2" s="190" t="s">
        <v>570</v>
      </c>
      <c r="D2" s="190"/>
      <c r="E2" s="190"/>
      <c r="F2" s="190"/>
      <c r="G2" s="190"/>
      <c r="H2" s="190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s="1" customFormat="1" ht="24.95" customHeight="1">
      <c r="A3" s="3"/>
      <c r="B3" s="8"/>
      <c r="C3" s="191" t="s">
        <v>571</v>
      </c>
      <c r="D3" s="191"/>
      <c r="E3" s="191"/>
      <c r="F3" s="191"/>
      <c r="G3" s="191"/>
      <c r="H3" s="191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5" spans="1:20">
      <c r="B5" s="54" t="s">
        <v>572</v>
      </c>
    </row>
    <row r="7" spans="1:20">
      <c r="B7" s="61" t="s">
        <v>573</v>
      </c>
      <c r="H7" s="61" t="s">
        <v>114</v>
      </c>
    </row>
    <row r="8" spans="1:20">
      <c r="C8" s="57" t="s">
        <v>574</v>
      </c>
      <c r="D8" s="55">
        <f>COUNTIF('Cahier de tests'!H8:H190,B7)</f>
        <v>0</v>
      </c>
      <c r="I8" s="57" t="s">
        <v>574</v>
      </c>
      <c r="J8" s="55">
        <f>COUNTIF('Cahier de tests'!H8:H190,H7)</f>
        <v>160</v>
      </c>
    </row>
    <row r="9" spans="1:20">
      <c r="C9" s="57" t="s">
        <v>575</v>
      </c>
      <c r="D9" s="55">
        <f>D10+D11</f>
        <v>0</v>
      </c>
      <c r="I9" s="57" t="s">
        <v>575</v>
      </c>
      <c r="J9" s="55">
        <f>J10+J11</f>
        <v>0</v>
      </c>
    </row>
    <row r="10" spans="1:20">
      <c r="C10" s="57" t="s">
        <v>576</v>
      </c>
      <c r="D10" s="55">
        <f>SUMPRODUCT(('Cahier de tests'!H8:H190=Statistiques!B7)*('Cahier de tests'!R8:R190="V"))</f>
        <v>0</v>
      </c>
      <c r="I10" s="57" t="s">
        <v>576</v>
      </c>
      <c r="J10" s="55">
        <f>SUMPRODUCT(('Cahier de tests'!H8:H190=Statistiques!H7)*('Cahier de tests'!R8:R190="V"))</f>
        <v>0</v>
      </c>
    </row>
    <row r="11" spans="1:20">
      <c r="C11" s="57" t="s">
        <v>577</v>
      </c>
      <c r="D11" s="55">
        <f>SUMPRODUCT(('Cahier de tests'!H8:H190=Statistiques!B7)*('Cahier de tests'!R8:R190="A"))</f>
        <v>0</v>
      </c>
      <c r="I11" s="57" t="s">
        <v>577</v>
      </c>
      <c r="J11" s="55">
        <f>SUMPRODUCT(('Cahier de tests'!H8:H190=Statistiques!H7)*('Cahier de tests'!R8:R190="A"))</f>
        <v>0</v>
      </c>
    </row>
    <row r="12" spans="1:20">
      <c r="C12" s="57" t="s">
        <v>578</v>
      </c>
      <c r="D12" s="56" t="str">
        <f>IF(D9&gt;0,D9/D8,"")</f>
        <v/>
      </c>
      <c r="I12" s="57" t="s">
        <v>578</v>
      </c>
      <c r="J12" s="56" t="str">
        <f>IF(J9&gt;0,J9/J8,"")</f>
        <v/>
      </c>
    </row>
    <row r="14" spans="1:20">
      <c r="B14" s="62" t="s">
        <v>425</v>
      </c>
      <c r="H14" s="62" t="s">
        <v>579</v>
      </c>
    </row>
    <row r="15" spans="1:20">
      <c r="C15" s="58" t="s">
        <v>574</v>
      </c>
      <c r="D15" s="55">
        <f>COUNTIF('Cahier de tests'!H8:H190,B14)</f>
        <v>19</v>
      </c>
      <c r="I15" s="58" t="s">
        <v>574</v>
      </c>
      <c r="J15" s="55">
        <f>COUNTIF('Cahier de tests'!H8:H190,H14)</f>
        <v>0</v>
      </c>
    </row>
    <row r="16" spans="1:20">
      <c r="C16" s="58" t="s">
        <v>575</v>
      </c>
      <c r="D16" s="55">
        <f>D17+D18</f>
        <v>0</v>
      </c>
      <c r="I16" s="58" t="s">
        <v>575</v>
      </c>
      <c r="J16" s="55">
        <f>J17+J18</f>
        <v>0</v>
      </c>
    </row>
    <row r="17" spans="2:10">
      <c r="C17" s="58" t="s">
        <v>576</v>
      </c>
      <c r="D17" s="55">
        <f>SUMPRODUCT(('Cahier de tests'!H8:H190=Statistiques!B14)*('Cahier de tests'!R8:R190="V"))</f>
        <v>0</v>
      </c>
      <c r="I17" s="58" t="s">
        <v>576</v>
      </c>
      <c r="J17" s="55">
        <f>SUMPRODUCT(('Cahier de tests'!H8:H190=Statistiques!H14)*('Cahier de tests'!R8:R190="V"))</f>
        <v>0</v>
      </c>
    </row>
    <row r="18" spans="2:10">
      <c r="C18" s="58" t="s">
        <v>577</v>
      </c>
      <c r="D18" s="55">
        <f>SUMPRODUCT(('Cahier de tests'!H8:H190=Statistiques!B14)*('Cahier de tests'!R8:R190="A"))</f>
        <v>0</v>
      </c>
      <c r="I18" s="58" t="s">
        <v>577</v>
      </c>
      <c r="J18" s="55">
        <f>SUMPRODUCT(('Cahier de tests'!H8:H190=Statistiques!H14)*('Cahier de tests'!R8:R190="A"))</f>
        <v>0</v>
      </c>
    </row>
    <row r="19" spans="2:10">
      <c r="C19" s="58" t="s">
        <v>578</v>
      </c>
      <c r="D19" s="56" t="str">
        <f>IF(D16&gt;0,D16/D15,"")</f>
        <v/>
      </c>
      <c r="I19" s="58" t="s">
        <v>578</v>
      </c>
      <c r="J19" s="56" t="str">
        <f>IF(J16&gt;0,J16/J15,"")</f>
        <v/>
      </c>
    </row>
    <row r="21" spans="2:10">
      <c r="B21" s="63" t="s">
        <v>580</v>
      </c>
      <c r="H21" s="63" t="s">
        <v>581</v>
      </c>
    </row>
    <row r="22" spans="2:10">
      <c r="C22" s="59" t="s">
        <v>574</v>
      </c>
      <c r="D22" s="55">
        <f>COUNTIF('Cahier de tests'!H8:H190,B21)</f>
        <v>0</v>
      </c>
      <c r="I22" s="59" t="s">
        <v>574</v>
      </c>
      <c r="J22" s="55">
        <f>COUNTIF('Cahier de tests'!H8:H190,H21)</f>
        <v>0</v>
      </c>
    </row>
    <row r="23" spans="2:10">
      <c r="C23" s="59" t="s">
        <v>575</v>
      </c>
      <c r="D23" s="55">
        <f>D24+D25</f>
        <v>0</v>
      </c>
      <c r="I23" s="59" t="s">
        <v>575</v>
      </c>
      <c r="J23" s="55">
        <f>J24+J25</f>
        <v>0</v>
      </c>
    </row>
    <row r="24" spans="2:10">
      <c r="C24" s="59" t="s">
        <v>576</v>
      </c>
      <c r="D24" s="55">
        <f>SUMPRODUCT(('Cahier de tests'!H8:H190=Statistiques!B21)*('Cahier de tests'!R8:R190="V"))</f>
        <v>0</v>
      </c>
      <c r="I24" s="59" t="s">
        <v>576</v>
      </c>
      <c r="J24" s="55">
        <f>SUMPRODUCT(('Cahier de tests'!H8:H190=Statistiques!H21)*('Cahier de tests'!R8:R190="V"))</f>
        <v>0</v>
      </c>
    </row>
    <row r="25" spans="2:10">
      <c r="C25" s="59" t="s">
        <v>577</v>
      </c>
      <c r="D25" s="55">
        <f>SUMPRODUCT(('Cahier de tests'!H200:H202=Statistiques!B21)*('Cahier de tests'!R200:R202="A"))</f>
        <v>0</v>
      </c>
      <c r="I25" s="59" t="s">
        <v>577</v>
      </c>
      <c r="J25" s="55">
        <f>SUMPRODUCT(('Cahier de tests'!H8:H190=Statistiques!H21)*('Cahier de tests'!R8:R190="A"))</f>
        <v>0</v>
      </c>
    </row>
    <row r="26" spans="2:10">
      <c r="C26" s="59" t="s">
        <v>578</v>
      </c>
      <c r="D26" s="56" t="str">
        <f>IF(D23&gt;0,D23/D22,"")</f>
        <v/>
      </c>
      <c r="I26" s="59" t="s">
        <v>578</v>
      </c>
      <c r="J26" s="56" t="str">
        <f>IF(J23&gt;0,J23/J22,"")</f>
        <v/>
      </c>
    </row>
    <row r="28" spans="2:10">
      <c r="B28" s="64" t="s">
        <v>582</v>
      </c>
    </row>
    <row r="29" spans="2:10">
      <c r="C29" s="60" t="s">
        <v>574</v>
      </c>
      <c r="D29" s="55">
        <f>COUNTIF('Cahier de tests'!H8:H190,B28)</f>
        <v>0</v>
      </c>
    </row>
    <row r="30" spans="2:10">
      <c r="C30" s="60" t="s">
        <v>575</v>
      </c>
      <c r="D30" s="55">
        <f>D31+D32</f>
        <v>0</v>
      </c>
    </row>
    <row r="31" spans="2:10">
      <c r="C31" s="60" t="s">
        <v>576</v>
      </c>
      <c r="D31" s="55">
        <f>SUMPRODUCT(('Cahier de tests'!H8:H190=Statistiques!B28)*('Cahier de tests'!R8:R190="V"))</f>
        <v>0</v>
      </c>
    </row>
    <row r="32" spans="2:10">
      <c r="C32" s="60" t="s">
        <v>577</v>
      </c>
      <c r="D32" s="55">
        <f>SUMPRODUCT(('Cahier de tests'!H8:H190=Statistiques!B28)*('Cahier de tests'!R8:R190="A"))</f>
        <v>0</v>
      </c>
    </row>
    <row r="33" spans="3:4">
      <c r="C33" s="60" t="s">
        <v>578</v>
      </c>
      <c r="D33" s="56" t="str">
        <f>IF(D30&gt;0,D30/D29,"")</f>
        <v/>
      </c>
    </row>
  </sheetData>
  <mergeCells count="2">
    <mergeCell ref="C2:H2"/>
    <mergeCell ref="C3:H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CBC18B9834514896B0DC08ACBDCB98" ma:contentTypeVersion="10" ma:contentTypeDescription="Crée un document." ma:contentTypeScope="" ma:versionID="306f8845623b08b8daf2a610338180e6">
  <xsd:schema xmlns:xsd="http://www.w3.org/2001/XMLSchema" xmlns:xs="http://www.w3.org/2001/XMLSchema" xmlns:p="http://schemas.microsoft.com/office/2006/metadata/properties" xmlns:ns2="ee8d298f-9f7f-41d5-854b-6eab0fb66755" xmlns:ns3="dd7fd161-dd49-4069-9f4a-8422fa1e76c7" targetNamespace="http://schemas.microsoft.com/office/2006/metadata/properties" ma:root="true" ma:fieldsID="2273248abea2a61447330e2039f9a60b" ns2:_="" ns3:_="">
    <xsd:import namespace="ee8d298f-9f7f-41d5-854b-6eab0fb66755"/>
    <xsd:import namespace="dd7fd161-dd49-4069-9f4a-8422fa1e76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8d298f-9f7f-41d5-854b-6eab0fb667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697633db-1662-44e2-9be0-9673860e25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7fd161-dd49-4069-9f4a-8422fa1e76c7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10e4847-a223-46b4-a9fa-c284d9ccadb7}" ma:internalName="TaxCatchAll" ma:showField="CatchAllData" ma:web="dd7fd161-dd49-4069-9f4a-8422fa1e76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d7fd161-dd49-4069-9f4a-8422fa1e76c7" xsi:nil="true"/>
    <lcf76f155ced4ddcb4097134ff3c332f xmlns="ee8d298f-9f7f-41d5-854b-6eab0fb6675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2918788-1B65-4A66-8ECE-15666DF6AB50}"/>
</file>

<file path=customXml/itemProps2.xml><?xml version="1.0" encoding="utf-8"?>
<ds:datastoreItem xmlns:ds="http://schemas.openxmlformats.org/officeDocument/2006/customXml" ds:itemID="{89BAD491-2891-4ED3-B971-4EC1510FF2C2}"/>
</file>

<file path=customXml/itemProps3.xml><?xml version="1.0" encoding="utf-8"?>
<ds:datastoreItem xmlns:ds="http://schemas.openxmlformats.org/officeDocument/2006/customXml" ds:itemID="{D35E4A23-220B-4E2A-A4CE-BDEBC947BA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WAFABANK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kibach</dc:creator>
  <cp:keywords/>
  <dc:description/>
  <cp:lastModifiedBy>Amal YOUZBACHI</cp:lastModifiedBy>
  <cp:revision/>
  <dcterms:created xsi:type="dcterms:W3CDTF">2001-09-02T11:32:56Z</dcterms:created>
  <dcterms:modified xsi:type="dcterms:W3CDTF">2025-06-23T15:28:51Z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0x010100D9CBC18B9834514896B0DC08ACBDCB98</vt:lpwstr>
  </property>
  <property fmtid="{D5CDD505-2E9C-101B-9397-08002B2CF9AE}" pid="3" name="MediaServiceImageTags">
    <vt:lpwstr/>
  </property>
</Properties>
</file>